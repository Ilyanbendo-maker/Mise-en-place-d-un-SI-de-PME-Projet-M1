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codeName="ThisWorkbook" defaultThemeVersion="166925"/>
  <mc:AlternateContent xmlns:mc="http://schemas.openxmlformats.org/markup-compatibility/2006">
    <mc:Choice Requires="x15">
      <x15ac:absPath xmlns:x15ac="http://schemas.microsoft.com/office/spreadsheetml/2010/11/ac" url="https://efrei365net-my.sharepoint.com/personal/gabriel_sautiere_efrei_net/Documents/Pa8/"/>
    </mc:Choice>
  </mc:AlternateContent>
  <xr:revisionPtr revIDLastSave="0" documentId="8_{F92580C8-E3CA-485B-9F3C-768472349B06}" xr6:coauthVersionLast="47" xr6:coauthVersionMax="47" xr10:uidLastSave="{00000000-0000-0000-0000-000000000000}"/>
  <bookViews>
    <workbookView xWindow="-108" yWindow="-108" windowWidth="23256" windowHeight="12600" firstSheet="10" activeTab="9" xr2:uid="{00000000-000D-0000-FFFF-FFFF00000000}"/>
  </bookViews>
  <sheets>
    <sheet name="1.Matériel" sheetId="9" r:id="rId1"/>
    <sheet name="1.Métriques" sheetId="7" r:id="rId2"/>
    <sheet name="1.Biens_identifiés" sheetId="1" r:id="rId3"/>
    <sheet name="2.Evenements_redoutés" sheetId="5" r:id="rId4"/>
    <sheet name="2.Synthèse" sheetId="15" r:id="rId5"/>
    <sheet name="3.Scénario_de_menaces" sheetId="11" r:id="rId6"/>
    <sheet name="3.Synthèse" sheetId="13" r:id="rId7"/>
    <sheet name="4.Mesure_de_sécurité" sheetId="23" r:id="rId8"/>
    <sheet name="4.Mesure_de_détection" sheetId="27" r:id="rId9"/>
    <sheet name="4.risques" sheetId="28" r:id="rId10"/>
    <sheet name="4.matrice_risque" sheetId="25" r:id="rId11"/>
  </sheets>
  <definedNames>
    <definedName name="_xlnm.Print_Area" localSheetId="5">'3.Scénario_de_menaces'!$A$1:$I$52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8" l="1"/>
  <c r="G81" i="28"/>
  <c r="A136" i="28"/>
  <c r="I136" i="28"/>
  <c r="C136" i="28"/>
  <c r="D136" i="28"/>
  <c r="E136" i="28"/>
  <c r="G136" i="28"/>
  <c r="H136" i="28"/>
  <c r="K136" i="28"/>
  <c r="L136" i="28"/>
  <c r="M136" i="28"/>
  <c r="N136" i="28"/>
  <c r="I121" i="28"/>
  <c r="I122" i="28"/>
  <c r="G121" i="28"/>
  <c r="G122" i="28"/>
  <c r="I130" i="28"/>
  <c r="I131" i="28"/>
  <c r="I132" i="28"/>
  <c r="I133" i="28"/>
  <c r="I134" i="28"/>
  <c r="I135" i="28"/>
  <c r="G130" i="28"/>
  <c r="G131" i="28"/>
  <c r="G132" i="28"/>
  <c r="G133" i="28"/>
  <c r="G134" i="28"/>
  <c r="G135" i="28"/>
  <c r="I126" i="28"/>
  <c r="I127" i="28"/>
  <c r="I128" i="28"/>
  <c r="I129" i="28"/>
  <c r="H135" i="28"/>
  <c r="H134" i="28"/>
  <c r="H133" i="28"/>
  <c r="H132" i="28"/>
  <c r="H131" i="28"/>
  <c r="C130" i="28"/>
  <c r="D130" i="28"/>
  <c r="E130" i="28"/>
  <c r="H130" i="28"/>
  <c r="K130" i="28"/>
  <c r="L130" i="28"/>
  <c r="M130" i="28"/>
  <c r="N130" i="28"/>
  <c r="G126" i="28"/>
  <c r="G127" i="28"/>
  <c r="G128" i="28"/>
  <c r="G129" i="28"/>
  <c r="H126" i="28"/>
  <c r="H127" i="28"/>
  <c r="H128" i="28"/>
  <c r="H129" i="28"/>
  <c r="G110" i="28"/>
  <c r="G111" i="28"/>
  <c r="G112" i="28"/>
  <c r="G113" i="28"/>
  <c r="G114" i="28"/>
  <c r="G115" i="28"/>
  <c r="G116" i="28"/>
  <c r="G117" i="28"/>
  <c r="G118" i="28"/>
  <c r="G119" i="28"/>
  <c r="G120" i="28"/>
  <c r="G123" i="28"/>
  <c r="G124" i="28"/>
  <c r="G125" i="28"/>
  <c r="I99" i="28"/>
  <c r="I100" i="28"/>
  <c r="I101" i="28"/>
  <c r="I102" i="28"/>
  <c r="I103" i="28"/>
  <c r="I104" i="28"/>
  <c r="I105" i="28"/>
  <c r="I106" i="28"/>
  <c r="I107" i="28"/>
  <c r="I108" i="28"/>
  <c r="I109" i="28"/>
  <c r="I110" i="28"/>
  <c r="I111" i="28"/>
  <c r="I112" i="28"/>
  <c r="I113" i="28"/>
  <c r="I114" i="28"/>
  <c r="I115" i="28"/>
  <c r="I116" i="28"/>
  <c r="I117" i="28"/>
  <c r="I118" i="28"/>
  <c r="I119" i="28"/>
  <c r="I120" i="28"/>
  <c r="I123" i="28"/>
  <c r="I124" i="28"/>
  <c r="I125" i="28"/>
  <c r="H125" i="28"/>
  <c r="H124" i="28"/>
  <c r="H123" i="28"/>
  <c r="H122" i="28"/>
  <c r="H120" i="28"/>
  <c r="H119" i="28"/>
  <c r="H118" i="28"/>
  <c r="H117" i="28"/>
  <c r="H116" i="28"/>
  <c r="H115" i="28"/>
  <c r="H114" i="28"/>
  <c r="H113" i="28"/>
  <c r="H112" i="28"/>
  <c r="H111" i="28"/>
  <c r="H110" i="28"/>
  <c r="G109" i="28"/>
  <c r="H109" i="28"/>
  <c r="G108" i="28"/>
  <c r="H108" i="28"/>
  <c r="G107" i="28"/>
  <c r="H107" i="28"/>
  <c r="G106" i="28"/>
  <c r="H106" i="28"/>
  <c r="G105" i="28"/>
  <c r="H105" i="28"/>
  <c r="G104" i="28"/>
  <c r="H104" i="28"/>
  <c r="G103" i="28"/>
  <c r="H103" i="28"/>
  <c r="G102" i="28"/>
  <c r="H102" i="28"/>
  <c r="G101" i="28"/>
  <c r="H101" i="28"/>
  <c r="I90" i="28"/>
  <c r="I91" i="28"/>
  <c r="I92" i="28"/>
  <c r="I93" i="28"/>
  <c r="I94" i="28"/>
  <c r="I95" i="28"/>
  <c r="I96" i="28"/>
  <c r="I97" i="28"/>
  <c r="I98" i="28"/>
  <c r="I43" i="28"/>
  <c r="I44" i="28"/>
  <c r="I45" i="28"/>
  <c r="I46" i="28"/>
  <c r="I47" i="28"/>
  <c r="I48" i="28"/>
  <c r="G100" i="28"/>
  <c r="H100" i="28"/>
  <c r="G99" i="28"/>
  <c r="H99" i="28"/>
  <c r="G98" i="28"/>
  <c r="H98" i="28"/>
  <c r="G97" i="28"/>
  <c r="H97" i="28"/>
  <c r="G96" i="28"/>
  <c r="H96" i="28"/>
  <c r="G95" i="28"/>
  <c r="H95" i="28"/>
  <c r="G94" i="28"/>
  <c r="H94" i="28"/>
  <c r="G93" i="28"/>
  <c r="H93" i="28"/>
  <c r="G92" i="28"/>
  <c r="H92" i="28"/>
  <c r="G91" i="28"/>
  <c r="H91" i="28"/>
  <c r="G90" i="28"/>
  <c r="H90" i="28"/>
  <c r="G89" i="28"/>
  <c r="H89" i="28"/>
  <c r="I26" i="28"/>
  <c r="I20" i="28"/>
  <c r="I19" i="28"/>
  <c r="I33" i="28"/>
  <c r="I88" i="28"/>
  <c r="I89" i="28"/>
  <c r="C121" i="28"/>
  <c r="D121" i="28"/>
  <c r="E121" i="28"/>
  <c r="G88" i="28"/>
  <c r="H88" i="28"/>
  <c r="K121" i="28"/>
  <c r="L121" i="28"/>
  <c r="M121" i="28"/>
  <c r="N121" i="28"/>
  <c r="G87" i="28"/>
  <c r="H87" i="28"/>
  <c r="I86" i="28"/>
  <c r="I87" i="28"/>
  <c r="G85" i="28"/>
  <c r="G86" i="28"/>
  <c r="H86" i="28"/>
  <c r="H85" i="28"/>
  <c r="P110" i="28"/>
  <c r="D17" i="25" s="1" a="1"/>
  <c r="D17" i="25" s="1"/>
  <c r="H4" i="28"/>
  <c r="H5" i="28"/>
  <c r="H6" i="28"/>
  <c r="H7"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3" i="28"/>
  <c r="G75" i="28"/>
  <c r="G76" i="28"/>
  <c r="G77" i="28"/>
  <c r="G78" i="28"/>
  <c r="G79" i="28"/>
  <c r="G80" i="28"/>
  <c r="G82" i="28"/>
  <c r="G83" i="28"/>
  <c r="G84" i="28"/>
  <c r="I78" i="28"/>
  <c r="I79" i="28"/>
  <c r="I80" i="28"/>
  <c r="I81" i="28"/>
  <c r="I82" i="28"/>
  <c r="I83" i="28"/>
  <c r="I84" i="28"/>
  <c r="I85" i="28"/>
  <c r="C3" i="15" a="1"/>
  <c r="C3" i="15"/>
  <c r="I4" i="28"/>
  <c r="I5" i="28"/>
  <c r="I6" i="28"/>
  <c r="I7" i="28"/>
  <c r="I9" i="28"/>
  <c r="I10" i="28"/>
  <c r="I11" i="28"/>
  <c r="I12" i="28"/>
  <c r="I13" i="28"/>
  <c r="I14" i="28"/>
  <c r="I15" i="28"/>
  <c r="I16" i="28"/>
  <c r="I17" i="28"/>
  <c r="I18" i="28"/>
  <c r="I21" i="28"/>
  <c r="I22" i="28"/>
  <c r="I23" i="28"/>
  <c r="I24" i="28"/>
  <c r="I25" i="28"/>
  <c r="I27" i="28"/>
  <c r="I28" i="28"/>
  <c r="I29" i="28"/>
  <c r="I30" i="28"/>
  <c r="I31" i="28"/>
  <c r="I32" i="28"/>
  <c r="I34" i="28"/>
  <c r="I35" i="28"/>
  <c r="I37" i="28"/>
  <c r="I38" i="28"/>
  <c r="I39" i="28"/>
  <c r="I40" i="28"/>
  <c r="I41" i="28"/>
  <c r="I42"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3" i="28"/>
  <c r="A4" i="28"/>
  <c r="A5" i="28" s="1"/>
  <c r="A6" i="28" s="1"/>
  <c r="A7" i="28" s="1"/>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69" i="28" s="1"/>
  <c r="A70" i="28" s="1"/>
  <c r="A71" i="28" s="1"/>
  <c r="A72" i="28" s="1"/>
  <c r="A73" i="28" s="1"/>
  <c r="A74" i="28" s="1"/>
  <c r="A75" i="28" s="1"/>
  <c r="A76" i="28" s="1"/>
  <c r="A77" i="28" s="1"/>
  <c r="A78" i="28" s="1"/>
  <c r="A79" i="28" s="1"/>
  <c r="A80" i="28" s="1"/>
  <c r="A81" i="28" s="1"/>
  <c r="A82" i="28" s="1"/>
  <c r="A83" i="28" s="1"/>
  <c r="A84" i="28" s="1"/>
  <c r="A85" i="28" s="1"/>
  <c r="A86" i="28" s="1"/>
  <c r="A87" i="28" s="1"/>
  <c r="A88" i="28" s="1"/>
  <c r="A89" i="28" s="1"/>
  <c r="A90" i="28" s="1"/>
  <c r="A91" i="28" s="1"/>
  <c r="A92" i="28" s="1"/>
  <c r="A93" i="28" s="1"/>
  <c r="A94" i="28" s="1"/>
  <c r="A95" i="28" s="1"/>
  <c r="A96" i="28" s="1"/>
  <c r="A97" i="28" s="1"/>
  <c r="A98" i="28" s="1"/>
  <c r="A99" i="28" s="1"/>
  <c r="A100" i="28" s="1"/>
  <c r="A101" i="28" s="1"/>
  <c r="A102" i="28" s="1"/>
  <c r="A103" i="28" s="1"/>
  <c r="A104" i="28" s="1"/>
  <c r="A105" i="28" s="1"/>
  <c r="A106" i="28" s="1"/>
  <c r="A107" i="28" s="1"/>
  <c r="A108" i="28" s="1"/>
  <c r="A109" i="28" s="1"/>
  <c r="A110" i="28" s="1"/>
  <c r="A111" i="28" s="1"/>
  <c r="A112" i="28" s="1"/>
  <c r="A113" i="28" s="1"/>
  <c r="A114" i="28" s="1"/>
  <c r="A115" i="28" s="1"/>
  <c r="A116" i="28" s="1"/>
  <c r="A117" i="28" s="1"/>
  <c r="A118" i="28" s="1"/>
  <c r="A119" i="28" s="1"/>
  <c r="A120" i="28" s="1"/>
  <c r="A121" i="28" s="1"/>
  <c r="A122" i="28" s="1"/>
  <c r="A123" i="28" s="1"/>
  <c r="A124" i="28" s="1"/>
  <c r="A125" i="28" s="1"/>
  <c r="A126" i="28" s="1"/>
  <c r="A127" i="28" s="1"/>
  <c r="A128" i="28" s="1"/>
  <c r="A129" i="28" s="1"/>
  <c r="A130" i="28" s="1"/>
  <c r="A131" i="28" s="1"/>
  <c r="A132" i="28" s="1"/>
  <c r="A133" i="28" s="1"/>
  <c r="A134" i="28" s="1"/>
  <c r="A135" i="28" s="1"/>
  <c r="N112" i="28"/>
  <c r="N113" i="28"/>
  <c r="N114" i="28"/>
  <c r="N115" i="28"/>
  <c r="N116" i="28"/>
  <c r="N117" i="28"/>
  <c r="N118" i="28"/>
  <c r="N119" i="28"/>
  <c r="N120" i="28"/>
  <c r="N122" i="28"/>
  <c r="M112" i="28"/>
  <c r="M113" i="28"/>
  <c r="M114" i="28"/>
  <c r="M115" i="28"/>
  <c r="M116" i="28"/>
  <c r="M117" i="28"/>
  <c r="M118" i="28"/>
  <c r="M119" i="28"/>
  <c r="M120" i="28"/>
  <c r="M122" i="28"/>
  <c r="L112" i="28"/>
  <c r="L113" i="28"/>
  <c r="L114" i="28"/>
  <c r="L115" i="28"/>
  <c r="L116" i="28"/>
  <c r="L117" i="28"/>
  <c r="L118" i="28"/>
  <c r="L119" i="28"/>
  <c r="L120" i="28"/>
  <c r="L122" i="28"/>
  <c r="K112" i="28"/>
  <c r="K113" i="28"/>
  <c r="K114" i="28"/>
  <c r="K115" i="28"/>
  <c r="K116" i="28"/>
  <c r="K117" i="28"/>
  <c r="K118" i="28"/>
  <c r="K119" i="28"/>
  <c r="K120" i="28"/>
  <c r="K122" i="28"/>
  <c r="E112" i="28"/>
  <c r="E113" i="28"/>
  <c r="E114" i="28"/>
  <c r="E115" i="28"/>
  <c r="E116" i="28"/>
  <c r="E117" i="28"/>
  <c r="E118" i="28"/>
  <c r="E119" i="28"/>
  <c r="E120" i="28"/>
  <c r="E122" i="28"/>
  <c r="E131" i="28"/>
  <c r="E132" i="28"/>
  <c r="E133" i="28"/>
  <c r="E134" i="28"/>
  <c r="E135" i="28"/>
  <c r="D112" i="28"/>
  <c r="D113" i="28"/>
  <c r="D114" i="28"/>
  <c r="D115" i="28"/>
  <c r="D116" i="28"/>
  <c r="D117" i="28"/>
  <c r="D118" i="28"/>
  <c r="D119" i="28"/>
  <c r="D120" i="28"/>
  <c r="D122" i="28"/>
  <c r="D131" i="28"/>
  <c r="D132" i="28"/>
  <c r="D133" i="28"/>
  <c r="D134" i="28"/>
  <c r="D135" i="28"/>
  <c r="C112" i="28"/>
  <c r="C113" i="28"/>
  <c r="C114" i="28"/>
  <c r="C115" i="28"/>
  <c r="C116" i="28"/>
  <c r="C117" i="28"/>
  <c r="C118" i="28"/>
  <c r="C119" i="28"/>
  <c r="C120" i="28"/>
  <c r="C122" i="28"/>
  <c r="C131" i="28"/>
  <c r="C132" i="28"/>
  <c r="C133" i="28"/>
  <c r="C134" i="28"/>
  <c r="C135"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4" i="28"/>
  <c r="G5" i="28"/>
  <c r="G6" i="28"/>
  <c r="G7" i="28"/>
  <c r="G9" i="28"/>
  <c r="G10" i="28"/>
  <c r="G11" i="28"/>
  <c r="G12" i="28"/>
  <c r="G13" i="28"/>
  <c r="G14" i="28"/>
  <c r="G3" i="28"/>
  <c r="C6" i="13" a="1"/>
  <c r="C6" i="13" s="1"/>
  <c r="C4" i="15" a="1"/>
  <c r="C4" i="15"/>
  <c r="C6" i="15" a="1"/>
  <c r="C6" i="15"/>
  <c r="C5" i="15" a="1"/>
  <c r="C5" i="15"/>
  <c r="C3" i="13" a="1"/>
  <c r="C3" i="13" s="1"/>
  <c r="C5" i="13" a="1"/>
  <c r="C5" i="13" s="1"/>
  <c r="C4" i="13" a="1"/>
  <c r="C4" i="13" s="1"/>
  <c r="I7" i="7"/>
  <c r="I6" i="7"/>
  <c r="I5" i="7"/>
  <c r="H7" i="7"/>
  <c r="H6" i="7"/>
  <c r="H5" i="7"/>
  <c r="G7" i="7"/>
  <c r="G6" i="7"/>
  <c r="G5" i="7"/>
  <c r="F7" i="7"/>
  <c r="F6" i="7"/>
  <c r="F5" i="7"/>
  <c r="I4" i="7"/>
  <c r="H4" i="7"/>
  <c r="G4" i="7"/>
  <c r="F4" i="7"/>
  <c r="C15" i="25" l="1" a="1"/>
  <c r="C15" i="25" s="1"/>
  <c r="F17" i="25" a="1"/>
  <c r="F17" i="25" s="1"/>
  <c r="F8" i="25" a="1"/>
  <c r="F8" i="25" s="1"/>
  <c r="E18" i="25" a="1"/>
  <c r="E18" i="25" s="1"/>
  <c r="F18" i="25" a="1"/>
  <c r="F18" i="25" s="1"/>
  <c r="C17" i="25" a="1"/>
  <c r="C17" i="25" s="1"/>
  <c r="E16" i="25" a="1"/>
  <c r="E16" i="25" s="1"/>
  <c r="E15" i="25" a="1"/>
  <c r="E15" i="25" s="1"/>
  <c r="D15" i="25" a="1"/>
  <c r="D15" i="25" s="1"/>
  <c r="F15" i="25" a="1"/>
  <c r="F15" i="25" s="1"/>
  <c r="F16" i="25" a="1"/>
  <c r="F16" i="25" s="1"/>
  <c r="I13" i="25" a="1"/>
  <c r="I13" i="25" s="1"/>
  <c r="I16" i="25" a="1"/>
  <c r="I16" i="25" s="1"/>
  <c r="I15" i="25" a="1"/>
  <c r="I15" i="25" s="1"/>
  <c r="I14" i="25" a="1"/>
  <c r="I14" i="25" s="1"/>
  <c r="E7" i="25" a="1"/>
  <c r="E7" i="25" s="1"/>
  <c r="F7" i="25" a="1"/>
  <c r="F7" i="25" s="1"/>
  <c r="C8" i="25" a="1"/>
  <c r="C8" i="25" s="1"/>
  <c r="D8" i="25" a="1"/>
  <c r="D8" i="25" s="1"/>
  <c r="E8" i="25" a="1"/>
  <c r="E8" i="25" s="1"/>
  <c r="C9" i="25" a="1"/>
  <c r="C9" i="25" s="1"/>
  <c r="D9" i="25" a="1"/>
  <c r="D9" i="25" s="1"/>
  <c r="E9" i="25" a="1"/>
  <c r="E9" i="25" s="1"/>
  <c r="F9" i="25" a="1"/>
  <c r="F9" i="25" s="1"/>
  <c r="D6" i="25" a="1"/>
  <c r="D6" i="25" s="1"/>
  <c r="E6" i="25" a="1"/>
  <c r="E6" i="25" s="1"/>
  <c r="F6" i="25" a="1"/>
  <c r="F6" i="25" s="1"/>
  <c r="C6" i="25" a="1"/>
  <c r="C6" i="25" s="1"/>
  <c r="C7" i="25" a="1"/>
  <c r="C7" i="25" s="1"/>
  <c r="D7" i="25" a="1"/>
  <c r="D7" i="25" s="1"/>
  <c r="D16" i="25" a="1"/>
  <c r="D16" i="25" s="1"/>
  <c r="C16" i="25" a="1"/>
  <c r="C16" i="25" s="1"/>
  <c r="D18" i="25" a="1"/>
  <c r="D18" i="25" s="1"/>
  <c r="E17" i="25" a="1"/>
  <c r="E17" i="25" s="1"/>
  <c r="C18" i="25" a="1"/>
  <c r="C18"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tc={811DCEB5-5CCB-4F3F-B42B-EA5D73D3E2FF}</author>
  </authors>
  <commentList>
    <comment ref="F3" authorId="0" shapeId="0" xr:uid="{811DCEB5-5CCB-4F3F-B42B-EA5D73D3E2FF}">
      <text>
        <t>[Threaded comment]
Your version of Excel allows you to read this threaded comment; however, any edits to it will get removed if the file is opened in a newer version of Excel. Learn more: https://go.microsoft.com/fwlink/?linkid=870924
Comment:
    Hacker = crime organisé, activiste idéologique, officine spécialisée, amateur, vengeur, potentiellement malveillant pathologique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<sst xmlns="http://schemas.openxmlformats.org/spreadsheetml/2006/main" count="2639" uniqueCount="1110">
  <si>
    <t>Locaux de l'entreprise</t>
  </si>
  <si>
    <t>Systèmes</t>
  </si>
  <si>
    <t>Matériel</t>
  </si>
  <si>
    <t>Logiciels</t>
  </si>
  <si>
    <t>Interne</t>
  </si>
  <si>
    <t xml:space="preserve">Atelier de production, bureaux administratifs, salle serveurs, zone de stockage matières premières, réseau invités, extranet/portail web, serveurs mail, ERP, données personnelles </t>
  </si>
  <si>
    <t>Active Directory</t>
  </si>
  <si>
    <t>Serveurs physiques</t>
  </si>
  <si>
    <t>Windows Server 2022</t>
  </si>
  <si>
    <t>ERP</t>
  </si>
  <si>
    <t>NAS/stockage</t>
  </si>
  <si>
    <t>ERP GPL</t>
  </si>
  <si>
    <t>Messagerie</t>
  </si>
  <si>
    <t>Switchs/routeurs</t>
  </si>
  <si>
    <t>Postfix / Dovecot</t>
  </si>
  <si>
    <t>Sauvegarde centralisée</t>
  </si>
  <si>
    <t>Veeam</t>
  </si>
  <si>
    <t>Réseau invités/utilisateurs</t>
  </si>
  <si>
    <t>VPN accès distant/Firewall</t>
  </si>
  <si>
    <t>OpenVPN/OpenSense</t>
  </si>
  <si>
    <t>PKI</t>
  </si>
  <si>
    <t xml:space="preserve">Fedora serveur </t>
  </si>
  <si>
    <t>Dogtag</t>
  </si>
  <si>
    <t>Stockage matières premières</t>
  </si>
  <si>
    <t>Hangar, local de rangement</t>
  </si>
  <si>
    <t>Extranet</t>
  </si>
  <si>
    <t>Fedora ?</t>
  </si>
  <si>
    <t>Imprimantes/Scanner</t>
  </si>
  <si>
    <t>Proxy</t>
  </si>
  <si>
    <t>Reverse Proxy</t>
  </si>
  <si>
    <t>Bastion</t>
  </si>
  <si>
    <t>Apache Guacamole</t>
  </si>
  <si>
    <t>MFA Keyclock</t>
  </si>
  <si>
    <t>Serveurs de fichiers</t>
  </si>
  <si>
    <t>Samba</t>
  </si>
  <si>
    <t>SIEM</t>
  </si>
  <si>
    <t>Graylog</t>
  </si>
  <si>
    <t>EPP</t>
  </si>
  <si>
    <t>ESET</t>
  </si>
  <si>
    <t>EDR</t>
  </si>
  <si>
    <t>Gestionnaire de secrets</t>
  </si>
  <si>
    <t>Gestionnaire de serveurs</t>
  </si>
  <si>
    <t xml:space="preserve"> OCS</t>
  </si>
  <si>
    <t>Externe</t>
  </si>
  <si>
    <t>Fournisseurs bois/vernis, fournisseurs cloud/DNS, fournisseurs publics, prestataires externes</t>
  </si>
  <si>
    <t>DNS public</t>
  </si>
  <si>
    <t>Bind9/Unbound</t>
  </si>
  <si>
    <t>Fournisseurs</t>
  </si>
  <si>
    <t>Equipement FAI</t>
  </si>
  <si>
    <t>Box internet, réseau filaire pour les postes de travail?, Nombre d'arrivées de fbres (juste une ligne FTTO, une ligne FTTH en support pour un mode dgradé ou encore une antenne 5G dans le cas ou tout tombe)</t>
  </si>
  <si>
    <t>Bouygues, OS de la box et des bornes wifi</t>
  </si>
  <si>
    <t>Source de menace</t>
  </si>
  <si>
    <t>Exemples</t>
  </si>
  <si>
    <t>Cybercriminels</t>
  </si>
  <si>
    <t>Ransomware, phishing</t>
  </si>
  <si>
    <t>Employés malveillants</t>
  </si>
  <si>
    <t>Vol, suppression de données</t>
  </si>
  <si>
    <t>Erreurs humaines</t>
  </si>
  <si>
    <t>Mauvaise configuration</t>
  </si>
  <si>
    <t>Malware</t>
  </si>
  <si>
    <t>Virus, spyware</t>
  </si>
  <si>
    <t>Attaquant externe</t>
  </si>
  <si>
    <t>Exploitation web, VPN</t>
  </si>
  <si>
    <t>Prestataire externe</t>
  </si>
  <si>
    <t>Accès abusif</t>
  </si>
  <si>
    <t>Catastrophe naturelle</t>
  </si>
  <si>
    <t>Incendie, innondation</t>
  </si>
  <si>
    <t>Panne matérielle</t>
  </si>
  <si>
    <t>Disque dur HS</t>
  </si>
  <si>
    <t>Coupure électrique</t>
  </si>
  <si>
    <t>Arrêt serveurs</t>
  </si>
  <si>
    <t>Fournisseur défaillant</t>
  </si>
  <si>
    <t>Rupture matières premières</t>
  </si>
  <si>
    <t>Fuite d'information</t>
  </si>
  <si>
    <t>Publication de documents internes</t>
  </si>
  <si>
    <t>Intrusion Physique</t>
  </si>
  <si>
    <t>Vol de matériel</t>
  </si>
  <si>
    <t>Saturation réseau/DDoS</t>
  </si>
  <si>
    <t>Indisponibilité extranet</t>
  </si>
  <si>
    <t>Obsolescence technique</t>
  </si>
  <si>
    <t>Windows XP</t>
  </si>
  <si>
    <t> </t>
  </si>
  <si>
    <t>Organisation</t>
  </si>
  <si>
    <t>Personnes</t>
  </si>
  <si>
    <t>Direction</t>
  </si>
  <si>
    <t>Président</t>
  </si>
  <si>
    <t>Directeur général</t>
  </si>
  <si>
    <t>Production atelier</t>
  </si>
  <si>
    <t>Chef de Projet</t>
  </si>
  <si>
    <t>Menuisier (découpage)</t>
  </si>
  <si>
    <t>Assemblage et montage</t>
  </si>
  <si>
    <t>Finition (ponçage, peinture, vernis, soin du bois pour la durabilité ...)</t>
  </si>
  <si>
    <t>Logistique/stock/approvisionnement</t>
  </si>
  <si>
    <t>Magasinier/cariste</t>
  </si>
  <si>
    <t>Commercial/relation client</t>
  </si>
  <si>
    <t>Commerciaux itinérants</t>
  </si>
  <si>
    <t>Relation client / gestion des ventes</t>
  </si>
  <si>
    <t>Compatibilité/RH</t>
  </si>
  <si>
    <t>Comptable</t>
  </si>
  <si>
    <t>RH</t>
  </si>
  <si>
    <t>Marketing/web/extranet</t>
  </si>
  <si>
    <t>Responsable communication</t>
  </si>
  <si>
    <t>Founisseurs matières premières</t>
  </si>
  <si>
    <t>Fournisseurs matière première (bois, vernis, clous, peinture ...)</t>
  </si>
  <si>
    <t>Prestataires IT/mainteannce</t>
  </si>
  <si>
    <t>Équipe P@8</t>
  </si>
  <si>
    <t>Constructeurs des équipements liés à l'activité adminstrative et bureautique</t>
  </si>
  <si>
    <t>Constructeurs des équipements liés à la production des cercueils</t>
  </si>
  <si>
    <t>Clients</t>
  </si>
  <si>
    <t>Entreprises</t>
  </si>
  <si>
    <t>Hébergeurs/services cloud/DNS</t>
  </si>
  <si>
    <t>OVH</t>
  </si>
  <si>
    <t>FAI/opérateurs internet</t>
  </si>
  <si>
    <t xml:space="preserve">Bouygues </t>
  </si>
  <si>
    <t>Disponibilité</t>
  </si>
  <si>
    <t>Gravité \Vraisemblance</t>
  </si>
  <si>
    <t>id</t>
  </si>
  <si>
    <t>Niveau</t>
  </si>
  <si>
    <t xml:space="preserve">Description </t>
  </si>
  <si>
    <t>D1</t>
  </si>
  <si>
    <t>plus de 48h</t>
  </si>
  <si>
    <t>La durée d'interuption du bien est superieure à 48h</t>
  </si>
  <si>
    <t>D2</t>
  </si>
  <si>
    <t>entre 24h et 48h</t>
  </si>
  <si>
    <t>La durée d'interuption du bien se situe entre 24h et 48h</t>
  </si>
  <si>
    <t>D3</t>
  </si>
  <si>
    <t>entre 4h et 24h</t>
  </si>
  <si>
    <t>La durée d'interuption du bien se situe entre 4h et 24h</t>
  </si>
  <si>
    <t>D4</t>
  </si>
  <si>
    <t xml:space="preserve">moins de 4h </t>
  </si>
  <si>
    <t>La durée d'interuption du bien est inférieur à 4h</t>
  </si>
  <si>
    <t>Intégrité</t>
  </si>
  <si>
    <t>I1</t>
  </si>
  <si>
    <t>Non intègre</t>
  </si>
  <si>
    <t>le bien peut ne doit pas etre intègre</t>
  </si>
  <si>
    <t>I2</t>
  </si>
  <si>
    <t>Détéctable</t>
  </si>
  <si>
    <t xml:space="preserve">le bien peut ne pas etre intègre, à partir du moment ou l'altération est identifiée </t>
  </si>
  <si>
    <t>I3</t>
  </si>
  <si>
    <t>Maitrisé</t>
  </si>
  <si>
    <t>le bien peut ne pas etre intègre, à partir du moment ou l'altération est identifiée, et si l'intégrité peut etre retrouvée</t>
  </si>
  <si>
    <t>I4</t>
  </si>
  <si>
    <t>Rigoureusement Intègre</t>
  </si>
  <si>
    <t xml:space="preserve">le bien doit etre rigouresement intègre. </t>
  </si>
  <si>
    <t>Confidentialité</t>
  </si>
  <si>
    <t>C1</t>
  </si>
  <si>
    <t>Public</t>
  </si>
  <si>
    <t>Le bien est publique</t>
  </si>
  <si>
    <t>C2</t>
  </si>
  <si>
    <t>Limité</t>
  </si>
  <si>
    <t>le bien est réservé au personnel et prestataire</t>
  </si>
  <si>
    <t>C3</t>
  </si>
  <si>
    <t>Réservé</t>
  </si>
  <si>
    <t>le bien est réservé au personnel interne et impliqué</t>
  </si>
  <si>
    <t>C4</t>
  </si>
  <si>
    <t>Privé</t>
  </si>
  <si>
    <t>le bien est réservé au personnel identifié et ayant le besoins de connaitre le bien</t>
  </si>
  <si>
    <t>Echelle de gravité</t>
  </si>
  <si>
    <t>G1</t>
  </si>
  <si>
    <t xml:space="preserve">Négligeable </t>
  </si>
  <si>
    <t xml:space="preserve">X surmonteras les impacts sans difficulté </t>
  </si>
  <si>
    <t>G2</t>
  </si>
  <si>
    <t>Limitée</t>
  </si>
  <si>
    <t>X surmonteras les impacts malgré quelques difficultés</t>
  </si>
  <si>
    <t>G3</t>
  </si>
  <si>
    <t>Importante</t>
  </si>
  <si>
    <t>X surmonteras les impacts avec des difficultés sérieuses</t>
  </si>
  <si>
    <t>G4</t>
  </si>
  <si>
    <t>Critique</t>
  </si>
  <si>
    <t>X ne surmonteras pas les impacts</t>
  </si>
  <si>
    <t>Echelle de vraisemblance</t>
  </si>
  <si>
    <t>V1</t>
  </si>
  <si>
    <t>Minime</t>
  </si>
  <si>
    <t>Très peut probable</t>
  </si>
  <si>
    <t>V2</t>
  </si>
  <si>
    <t>Significative</t>
  </si>
  <si>
    <t>Pourrait se produire</t>
  </si>
  <si>
    <t>V3</t>
  </si>
  <si>
    <t>Forte</t>
  </si>
  <si>
    <t>Devrais se produire</t>
  </si>
  <si>
    <t>V4</t>
  </si>
  <si>
    <t>Maximale</t>
  </si>
  <si>
    <t>Vas très certainement se produire</t>
  </si>
  <si>
    <t>Capacité de détection d'un évenement redouté</t>
  </si>
  <si>
    <t>E1</t>
  </si>
  <si>
    <t>Insignifiante</t>
  </si>
  <si>
    <t>Aucune détection possible pour cet évenement redouté</t>
  </si>
  <si>
    <t>E2</t>
  </si>
  <si>
    <t>Unitaire</t>
  </si>
  <si>
    <t>Peu de détection possible pour cet évenement redouté</t>
  </si>
  <si>
    <t>E3</t>
  </si>
  <si>
    <t>Multiples</t>
  </si>
  <si>
    <t>L'évenement est couvert par plusieurs sources de détections</t>
  </si>
  <si>
    <t>E4</t>
  </si>
  <si>
    <t>Couvert</t>
  </si>
  <si>
    <t>L'évenement doit être détecté et remedié dans 100% des cas</t>
  </si>
  <si>
    <t>Score du Risque = Gravité (G) × Vraisemblance (V)</t>
  </si>
  <si>
    <t>Les missions / Processus Métiers</t>
  </si>
  <si>
    <t>Processus Essentiels</t>
  </si>
  <si>
    <t>Gestion RH</t>
  </si>
  <si>
    <t>Gestion personnel (présence, absence)</t>
  </si>
  <si>
    <t>Gestion des recrutements</t>
  </si>
  <si>
    <t>Gestion des contrats/dossiers salariés</t>
  </si>
  <si>
    <t>Administration et supervision de l'infrastructure</t>
  </si>
  <si>
    <t>Gestion des incidents et alertes</t>
  </si>
  <si>
    <t>Gestion des accès utilisateurs (AD)</t>
  </si>
  <si>
    <t>Maintenance</t>
  </si>
  <si>
    <t>Mise à jour</t>
  </si>
  <si>
    <t>Supervision</t>
  </si>
  <si>
    <t>Prise de commande et relations client</t>
  </si>
  <si>
    <t>Prise de contact</t>
  </si>
  <si>
    <t>Devis et configuration des cercueils personnalisés</t>
  </si>
  <si>
    <t>Validation de commande</t>
  </si>
  <si>
    <t>Paiement en ligne</t>
  </si>
  <si>
    <t>Gestion des dossiers d'obsèques et familles</t>
  </si>
  <si>
    <t>Création des dossiers</t>
  </si>
  <si>
    <t>Recueil des volontés (personnalisation)</t>
  </si>
  <si>
    <t>Suivi du dossier client</t>
  </si>
  <si>
    <t>Archivage des dossiers</t>
  </si>
  <si>
    <t>Facturation</t>
  </si>
  <si>
    <t>Gestion financière</t>
  </si>
  <si>
    <t>Gestion trésorerie et comptes bancaires</t>
  </si>
  <si>
    <t>Gestion de la paie</t>
  </si>
  <si>
    <t>Gestion des factures fournisseur</t>
  </si>
  <si>
    <t>Suivi des achats matières premières</t>
  </si>
  <si>
    <t>Production</t>
  </si>
  <si>
    <t>Fabrication des cercueils</t>
  </si>
  <si>
    <t>Personnalisation (peinture, motifs, design)</t>
  </si>
  <si>
    <t>Contrôle qualité</t>
  </si>
  <si>
    <t>Gestion des stocks matières premières</t>
  </si>
  <si>
    <t>Planification de production</t>
  </si>
  <si>
    <t>Logistique</t>
  </si>
  <si>
    <t>Réception des matières premières</t>
  </si>
  <si>
    <t>Stockage et gestion des stocks</t>
  </si>
  <si>
    <t>Expédition des cercueils</t>
  </si>
  <si>
    <t>Suivi des livraisons</t>
  </si>
  <si>
    <t>Marketing, web, extranet</t>
  </si>
  <si>
    <t>Gestion du site</t>
  </si>
  <si>
    <t>Support client en ligne</t>
  </si>
  <si>
    <t>Administration et supervision</t>
  </si>
  <si>
    <t>Prise de commandes et relations client</t>
  </si>
  <si>
    <t>Marketing, Web, Extranet</t>
  </si>
  <si>
    <t>Gestion Personnel</t>
  </si>
  <si>
    <t xml:space="preserve">Gestion des accès utilisateurs </t>
  </si>
  <si>
    <t>Validation de commandes</t>
  </si>
  <si>
    <t xml:space="preserve">Réception des matières premières </t>
  </si>
  <si>
    <t xml:space="preserve">Support client en ligne </t>
  </si>
  <si>
    <t>x</t>
  </si>
  <si>
    <t>VPN accès distant</t>
  </si>
  <si>
    <t>Firewall</t>
  </si>
  <si>
    <t>Imprimantes</t>
  </si>
  <si>
    <t>X</t>
  </si>
  <si>
    <t>MFA Keycloak</t>
  </si>
  <si>
    <t>Matières premières</t>
  </si>
  <si>
    <t>Serveur de fichiers</t>
  </si>
  <si>
    <t xml:space="preserve">SIEM </t>
  </si>
  <si>
    <t xml:space="preserve">Gestion des serveurs/machines (ansible) </t>
  </si>
  <si>
    <t>Impacts</t>
  </si>
  <si>
    <t>Les processus essentiels</t>
  </si>
  <si>
    <t>Evénements redoutés</t>
  </si>
  <si>
    <t>Besoins de sécurité</t>
  </si>
  <si>
    <t>Description - Impacts</t>
  </si>
  <si>
    <t>D</t>
  </si>
  <si>
    <t>I</t>
  </si>
  <si>
    <t>C</t>
  </si>
  <si>
    <t>Gravité</t>
  </si>
  <si>
    <t>Gestion du personnel</t>
  </si>
  <si>
    <t xml:space="preserve">- Modification, Création, Suppression de données
- Partie de l'infra qui ne répond plus (ERP, serveur de fichiers, messagerie, AD, etc.)
- Accès non autorisé
- Vol d'information
</t>
  </si>
  <si>
    <t>D3, I4, C3</t>
  </si>
  <si>
    <t>Hackers, employé interne (qui veut trafiquer son profil), RH/tech incompétent</t>
  </si>
  <si>
    <t>- Perte d'activité et impact financier, perte de confiance des collaborateurs</t>
  </si>
  <si>
    <t>- Usurpation d'identité
- Infiltration 
- Vol d'information 
- Espionnage
- Modification, création, suppression de données</t>
  </si>
  <si>
    <t>D1, I3, C3</t>
  </si>
  <si>
    <t>Hackers, RH/tech incompétent</t>
  </si>
  <si>
    <t>- Problème de suivi des recrutements 
- Perte de temps
- Potentiellement sous-effectif si pas hors service trop longtemps</t>
  </si>
  <si>
    <t>- Modification, création, suppression de données, 
- Vol d'information
- Accès non autorisé
- Espionnage</t>
  </si>
  <si>
    <t>D2, I4, C4</t>
  </si>
  <si>
    <t>- Problème de contrats/paie
- Perte de confiance envers les employés
- Ralentissement dû à des contrats incertains</t>
  </si>
  <si>
    <t>- Pannes des serveurs
- Mauvaise remontée de logs
- Alertes mal répertoriées (criticité)</t>
  </si>
  <si>
    <t>D4, I4, C4</t>
  </si>
  <si>
    <t>Hackers, employé interne, panne physique</t>
  </si>
  <si>
    <t>- Manque de sécurité
- Potentiel ravisseur allant jusqu'à la destruction totale de l'infrastructure
- Fausse compréhension du problème 
- Ralentissement de l'activité
- Ransomware
- Perte financière</t>
  </si>
  <si>
    <t>- Permissions mal attribuées
- Utilisateurs pas mis à jour
- Compromission des données
- Accès non autorisé
- Vol de credentials</t>
  </si>
  <si>
    <t>- Manque de sécurité
- Potentiel ravisseur allant jusqu'à la destruction totale de l'infrastructure
- Fausse compréhension du problème 
- Ralentissement de l'activité
- Escalade de privilège
- Accès non autorisé</t>
  </si>
  <si>
    <t>- Backup non opérationnel / non accessible
- Outils de sécurité qui ne fonctionnent plus
- Serveur web mis hors service
- Corruption de services (gestionnaire de secrets, gestionnaires des parc, etc.)
- Destruction de l'infrastructure</t>
  </si>
  <si>
    <t>D3, I4, C4</t>
  </si>
  <si>
    <t>Hackers, admin incompétent, employé interne (malveillant ou pas), Malware</t>
  </si>
  <si>
    <t>Perte d'activité et impact financier, mise en péril de l'infrastructure, perte de confiance des clients</t>
  </si>
  <si>
    <t>- Matériel non mis à jour
- Installation d'un malware ou de paquets malveillants</t>
  </si>
  <si>
    <t>Hackers, admin incompétent, employé interne (malveillant ou pas), malware</t>
  </si>
  <si>
    <t>- Altération ou Suppression des données, logs et de l'infrastructure
- Accès non autorisé aux autres services liés</t>
  </si>
  <si>
    <t>Hackers, admin incompétent, employé interne (malveillant ou pas), malware, erreur humaine</t>
  </si>
  <si>
    <t>- Interception du contact
- Contacter un acteur malveillant
- Vol d'identifiants de compte (par le biais de phishing, etc.)
- Divulgation de données sensibles</t>
  </si>
  <si>
    <t>I3, C3</t>
  </si>
  <si>
    <t>Client, Hacker, Employé, Infostealer</t>
  </si>
  <si>
    <t>Impact sur l'activité et la confiance des clients, usurpation d'identité</t>
  </si>
  <si>
    <t>- Expositions involontaires de données sensibles
- Injections de commandes / scripts malveillants
- Modification du site (liens malveillants, messages, diffamation, etc.)</t>
  </si>
  <si>
    <t>D4, I3, C1</t>
  </si>
  <si>
    <t>Hacker, équipe tech, employé</t>
  </si>
  <si>
    <t>Impact sur l'activité, la réputation et la confiance des clients</t>
  </si>
  <si>
    <t>- Commandes disparues
- Commandes faux positives</t>
  </si>
  <si>
    <t>D3, I3, C2</t>
  </si>
  <si>
    <t>Hacker, erreur humaine</t>
  </si>
  <si>
    <t>- Mauvais suivi des commandes
- Pertes financières</t>
  </si>
  <si>
    <t>- Mauvaise redirection
- Paiement effectué au mauvais destinataire
- Paiement jamais reçu
- Montant invalide
- Vol d'informations carte bleue</t>
  </si>
  <si>
    <t>D2, I4, C2</t>
  </si>
  <si>
    <t>Client, Hacker, Infostealer, erreur humaine</t>
  </si>
  <si>
    <t>Impact sur les transactions, confiance client</t>
  </si>
  <si>
    <t>Gestion des dossiers obsèques et familles</t>
  </si>
  <si>
    <t>- Création de faux dossiers clients
- Altération des dossiers clients (modification / Suppression)
- Accès non autorisé aux dossiers clients
- Vol de données</t>
  </si>
  <si>
    <t>I2, C3</t>
  </si>
  <si>
    <t>Confiance des clients, usurpation d'identité, réputation, confidentialité</t>
  </si>
  <si>
    <t>Recueil des volontés</t>
  </si>
  <si>
    <t>- Modification, fausses ou suppression des volontés</t>
  </si>
  <si>
    <t>D2, I3, C3</t>
  </si>
  <si>
    <t>Confiance client</t>
  </si>
  <si>
    <t>- Altération des dossiers clients (modification / Suppression)
- Accès non autorisé aux dossiers clients
- Vol de données</t>
  </si>
  <si>
    <t xml:space="preserve">- Perte de confiance du client
- Impact sur l'activité </t>
  </si>
  <si>
    <t>- Création de faux dossiers clients
- Altération des dossiers clients (modification / Suppression)
- Accès non autorisé aux dossiers clients
- Vol de données
- Mauvais archivage (archivage de dossiers en cours)</t>
  </si>
  <si>
    <t>D1, I3, C2</t>
  </si>
  <si>
    <t>- Incompréhension employé interne
- Impossibilité de s'appuyer sur l'expérience
- Ralentissement de l'activité</t>
  </si>
  <si>
    <t>- Fausses factures reçues / émises
- Vol de données
- Faux / mauvais destinataire</t>
  </si>
  <si>
    <t>I4, C4</t>
  </si>
  <si>
    <t>Hacker, erreur humaine, infostealer</t>
  </si>
  <si>
    <t>- Modification des comptes
- Vol d'identifiants
- Vol d'argent
- Réception de faux documents de trésorerie
- Dépenses non prévues / justifiées</t>
  </si>
  <si>
    <t>Hacker, erreur humaine, malware, infostealer, employé malveillant</t>
  </si>
  <si>
    <t>Impact sur la trésorerie</t>
  </si>
  <si>
    <t xml:space="preserve">- Paie au mauvais destinataire
- Paie envoyé au mauvais moment 
- Paie donnée avec un mauvais montant
- Accès non autorisé aux données sensibles (bulletins de paie) </t>
  </si>
  <si>
    <t>Hacker, erreur humaine, employé malveillant</t>
  </si>
  <si>
    <t>Impact sur la trésorerie et sur la confiance des collaborateurs</t>
  </si>
  <si>
    <t>Gestion des factures / achats</t>
  </si>
  <si>
    <t>- Accès non autorisé aux factures, achats
- Réception de faux documents de trésorerie</t>
  </si>
  <si>
    <t>D3, I3, C3</t>
  </si>
  <si>
    <t xml:space="preserve">- Mauvaise entrée de données
- Achats réalisé en retard
- Mauvais suivi des achats </t>
  </si>
  <si>
    <t>D3, I2, C2</t>
  </si>
  <si>
    <t>Hacker, erreur humaine, panne</t>
  </si>
  <si>
    <t>- Incompréhension employé interne
- Perte de traçabilité
- Ralentissement de l'activité
- Perte confiance fournisseurs</t>
  </si>
  <si>
    <t xml:space="preserve">Production </t>
  </si>
  <si>
    <t>- Retard sur les achats
- Retard sur la fabrication (fournisseurs)
- Employés en sous-effectif
- Arrêt des machines</t>
  </si>
  <si>
    <t>- Perte confiance clients (attente du client)
- Impact financier et sur l'activité</t>
  </si>
  <si>
    <t>- Retard sur les achats
- Retard sur la personnalisation 
- Employés en sous-effectif
- Arrêt des machines
- Personnalisation indisponible</t>
  </si>
  <si>
    <t xml:space="preserve">- Employés en sous-effectif 
- Retard sur le contrôle qualité 
- Serveur de fichier en panne </t>
  </si>
  <si>
    <t>Erreur humaine</t>
  </si>
  <si>
    <t xml:space="preserve">- Incompréhension employé interne
- Perte de traçabilité
- Ralentissement de l'activité
- Manque de validation </t>
  </si>
  <si>
    <t>- Mauvais jugement sur les stocks
- Erreur d'achats, fournisseurs
- Problèmes sur la qualité</t>
  </si>
  <si>
    <t>I4, C3</t>
  </si>
  <si>
    <t>- Perte confiance clients (attente du client)
- Impact financier et sur l'activité
- Perte confiance fournisseur</t>
  </si>
  <si>
    <t>- Mauvaise plannification
- Employé en sous-effectif</t>
  </si>
  <si>
    <t>- Impact sur l'activité
- Perte confiance fournisseur + client</t>
  </si>
  <si>
    <t>- Mauvaise coordination sur la réception
- Manque de personnel
- Dossier incomplet
- Mauvaise prévision 
- Date repoussé</t>
  </si>
  <si>
    <t>D3, C2</t>
  </si>
  <si>
    <t>- Impact sur l'activité
- Perte confiance fournisseur + client
- Impact sur la traçabilité</t>
  </si>
  <si>
    <t>- Mauvaise prévision
- Dossier incomplet
- Inventaire faussé/pas fait
- Non accès à la base de données de l'inventaire</t>
  </si>
  <si>
    <t>D2, I4, C3</t>
  </si>
  <si>
    <t>- Impact sur l'activité
- Perte confiance fournisseur + client
- Impact sur la traçabilité
- Perte confiance des employés</t>
  </si>
  <si>
    <t>- Manque de personnel
- Retard sur l'expédition (traffic, externe)
- Système HS (ERP)</t>
  </si>
  <si>
    <t>- Mauvaise traçabilité
- Retard sur l'expédition (traffic, externe)
- Système HS (ERP)</t>
  </si>
  <si>
    <t xml:space="preserve">- Manque de personnel
- Trop de tâches en même temps
- Site qui ne fonctionne plus 
- Site qui est piraté </t>
  </si>
  <si>
    <t>D4, I4, C3</t>
  </si>
  <si>
    <t>Hacker, erreur technique, panne</t>
  </si>
  <si>
    <t xml:space="preserve">- Ralentissement de l'activité
- Perte de clients
- Impossibilité de travailler pour les employés
- Perte d'activité </t>
  </si>
  <si>
    <t>D4, C3</t>
  </si>
  <si>
    <t>- Ralentissement de l'activité
- Perte de clients
- Perte d'activité</t>
  </si>
  <si>
    <t>Evénement</t>
  </si>
  <si>
    <t>Négligeable</t>
  </si>
  <si>
    <t>Important</t>
  </si>
  <si>
    <t xml:space="preserve">Scénarios de menaces </t>
  </si>
  <si>
    <t>Sources de menaces</t>
  </si>
  <si>
    <t>Vraisemblance</t>
  </si>
  <si>
    <t>Création, modification, suppression non désirable de fichiers sur le Serveur de fichiers</t>
  </si>
  <si>
    <t>Erreur humaine interne, Hacker</t>
  </si>
  <si>
    <t>Synchronisation incorrecte entre serveurs de fichiers</t>
  </si>
  <si>
    <t>Erreur de réplication / mauvaise config</t>
  </si>
  <si>
    <t>Corruption des fichiers suite à panne disque RAID</t>
  </si>
  <si>
    <t>Panne matérielle / vieillissement</t>
  </si>
  <si>
    <t>Suppression accidentelle d’un dossier client par un employé</t>
  </si>
  <si>
    <t>Erreur humaine interne</t>
  </si>
  <si>
    <t>Chiffrement des fichiers du Serveur de fichiers suite à une infection ransomware</t>
  </si>
  <si>
    <t>Malware / phishing / attaque technique</t>
  </si>
  <si>
    <t>Indisponibilité du serveur de fichiers</t>
  </si>
  <si>
    <t>Malware/attaque technique/erreur humaine interne</t>
  </si>
  <si>
    <t>Mauvaise gestion des permissions / accès sur les dossiers partagés (serveur de fichiers)</t>
  </si>
  <si>
    <t>Erreur humaine interne, négligence</t>
  </si>
  <si>
    <t>VPN</t>
  </si>
  <si>
    <t>Compromission de credentials VPN</t>
  </si>
  <si>
    <t>Hacking/Fuite de credentials</t>
  </si>
  <si>
    <t>Endpoint avec accès VPN compromis</t>
  </si>
  <si>
    <t>Hacking, vol de PC, infection par un virus</t>
  </si>
  <si>
    <t>Profils VPN / routage VPN trop permissifs</t>
  </si>
  <si>
    <t>Les Serveurs DNS</t>
  </si>
  <si>
    <t>Serveurs DNS (resolveurs ou authoritaires) en panne</t>
  </si>
  <si>
    <t>Hacker, problème technique</t>
  </si>
  <si>
    <t>Enregistrements DNS publics invalides</t>
  </si>
  <si>
    <t>Mauvaise configuration / mauvaise maintenance</t>
  </si>
  <si>
    <t>Attaque par Déni de service ciblant notre serveur DNS authoritaire</t>
  </si>
  <si>
    <t>Hacker</t>
  </si>
  <si>
    <t>Compromission de serveurs DNS</t>
  </si>
  <si>
    <t>Hacker/menace interne</t>
  </si>
  <si>
    <t>Altération de nos enregistrements DNS par un tiers</t>
  </si>
  <si>
    <t>Transferts de zone DNS non autorisés (AXFR mal configuré)</t>
  </si>
  <si>
    <t>Mauvaise gestion des clés DNSSEC (perte, le vol, expiration...)</t>
  </si>
  <si>
    <t>Mauvaise configuration/Hacker</t>
  </si>
  <si>
    <t>Accès non autorisé au bastion</t>
  </si>
  <si>
    <t>Malware/Hacker/menace interne/backdoor</t>
  </si>
  <si>
    <t>Compromission du bastion (et donc de toute l'infra)</t>
  </si>
  <si>
    <t>Malware/Hacker</t>
  </si>
  <si>
    <t>Manque de durcissement du Bastion</t>
  </si>
  <si>
    <t>Bastion en panne</t>
  </si>
  <si>
    <t>Contournement du bastion pour l'accès au machines de prod</t>
  </si>
  <si>
    <t>Mauvaise surveillance des sessions admin ouvertes depuis le bastion</t>
  </si>
  <si>
    <t>Comptes AD / accès non désactivés  après départ d'un employé</t>
  </si>
  <si>
    <t>Employé/erreur humaine interne</t>
  </si>
  <si>
    <t>Panne / indisponibilité des DCs</t>
  </si>
  <si>
    <t>Malware/Hacker/Problème réseau</t>
  </si>
  <si>
    <t>Compromission d'un DC</t>
  </si>
  <si>
    <t>Malware/Hacker/problème physique</t>
  </si>
  <si>
    <t>Chiffrement de l'AD suite à une infection ransomware</t>
  </si>
  <si>
    <t>Partage excéssif / réutilisation des mots dee passe Admin</t>
  </si>
  <si>
    <t>Modification/accès non autorisé à l'AD</t>
  </si>
  <si>
    <t>Malware/attaque technique/erreur humaine interne/Hacker</t>
  </si>
  <si>
    <t>Mauvaise politique de logs dans l'AD (perte de logs, évènements non journalisés...)</t>
  </si>
  <si>
    <t>Problèmes de réplication ou erreurs de configuration de la bdd Active Directory</t>
  </si>
  <si>
    <t>Employé/erreur humaine interne / Mauvaise configuration</t>
  </si>
  <si>
    <t>Risques liés à la sauvegarde et à la restauration des DCs</t>
  </si>
  <si>
    <t>Mauvaise gestion des droits / accès dans l'AD</t>
  </si>
  <si>
    <t>Firewalls interne &amp; externe</t>
  </si>
  <si>
    <t>Perte d'accès au firewall (administration)</t>
  </si>
  <si>
    <t>Firewall exposant son interface d'administration</t>
  </si>
  <si>
    <t>Attaque DDOS ciblant le firewall</t>
  </si>
  <si>
    <t xml:space="preserve">Firewall en panne/ne fonctionnant pas </t>
  </si>
  <si>
    <t xml:space="preserve">Exposition involontaire des sous-réseaux sur internet </t>
  </si>
  <si>
    <t>Création de règles firewall mal configurées / trop permissives</t>
  </si>
  <si>
    <t>Mauvaise segmentation des VLANs</t>
  </si>
  <si>
    <t xml:space="preserve">Shadow IT sur le firewall / surabondance de règles firewall </t>
  </si>
  <si>
    <t>Mauvaise visibilité / mauvais logging du traffic réseau sur le firewall</t>
  </si>
  <si>
    <t>Serveur web</t>
  </si>
  <si>
    <t>Défacement du site web vitrine</t>
  </si>
  <si>
    <t>Exposition de données sensibles sur le site web</t>
  </si>
  <si>
    <t>Mauvaise administration/Hacking/Scraping</t>
  </si>
  <si>
    <t>Injections de requêtes (XSS…)</t>
  </si>
  <si>
    <t>Acteur malveillant</t>
  </si>
  <si>
    <t>Serveur web utilisé comme rebond pour accéder à l'infrastructure en interne (RODC, bdd…)</t>
  </si>
  <si>
    <t>mauvaise isolation des services sur le serveur Web (NGINX, bdd…)</t>
  </si>
  <si>
    <t>mauvaise gestion des patchs / mises à jour sur le serveur Web</t>
  </si>
  <si>
    <t>Attaque par déni de service ciblant le serveur Web</t>
  </si>
  <si>
    <t>Vol de la base de données de notre site Web</t>
  </si>
  <si>
    <t>Serveurs Mail</t>
  </si>
  <si>
    <t>Fraude au président par un tier malveillant</t>
  </si>
  <si>
    <t>Phishing sur les employés</t>
  </si>
  <si>
    <t>Serveurs mails en panne</t>
  </si>
  <si>
    <t>Hacker/Problème technique</t>
  </si>
  <si>
    <t>Vol / détournement d'adresse mail / de compte avec email</t>
  </si>
  <si>
    <t>Compromission d'un/des serveurs de mails</t>
  </si>
  <si>
    <t>Hacker/Malware</t>
  </si>
  <si>
    <t>Spoofing (usurpation) de notre domaine mail</t>
  </si>
  <si>
    <t>Altération (Man-in-the-middle) de nos mails en transit (corps ou en-têtes)</t>
  </si>
  <si>
    <t>Pas de chiffrement des secrets lors de la récupération des mails (authentification)</t>
  </si>
  <si>
    <t>anti‑spam/anti‑malware mal configuré (faux positifs ou passage de messages dangereux)</t>
  </si>
  <si>
    <t>Mauvaise configuration / Hacker</t>
  </si>
  <si>
    <t>Pas de SSO pour lire / envoyer des mails</t>
  </si>
  <si>
    <t>Pas de chiffrement des mails (au repos ou en transit, sur tous les serveurs)</t>
  </si>
  <si>
    <t>Mauvais patching des clients mail (MUA)</t>
  </si>
  <si>
    <t>Manque de contrôle / visibilité dans le cas d'un cleint mail (MUA) sur smartphone</t>
  </si>
  <si>
    <t>Employés</t>
  </si>
  <si>
    <t>Plugin / add-on client mail (MUA) vulnérable</t>
  </si>
  <si>
    <t>Serveur de backup</t>
  </si>
  <si>
    <t>Serveur de backup en panne</t>
  </si>
  <si>
    <t>Backups automatiques non réalisées</t>
  </si>
  <si>
    <t xml:space="preserve">Problème technique </t>
  </si>
  <si>
    <t>Compromission / accès illégitime au serveur de backup</t>
  </si>
  <si>
    <t>Backups non isolées du réseau et / ou non immuables</t>
  </si>
  <si>
    <t>Compromission / accès illégitime au compte de service utilisé pour les backups</t>
  </si>
  <si>
    <t>Hacker/acteur malveillant</t>
  </si>
  <si>
    <t>Pas de redondance du stockage des backups</t>
  </si>
  <si>
    <t xml:space="preserve">Corruption des backups / backups incohérentes (backups de bases de données notamment) </t>
  </si>
  <si>
    <t>Erreur humaine interne / Mauvaise configuration</t>
  </si>
  <si>
    <t>Manque de stockage pour les backups</t>
  </si>
  <si>
    <t>PKI (CA racine et intermédiaire)</t>
  </si>
  <si>
    <t xml:space="preserve">CA Racine compromise </t>
  </si>
  <si>
    <t xml:space="preserve">Erreur humaine interne/hacker </t>
  </si>
  <si>
    <t>CA intermédiaire compromise</t>
  </si>
  <si>
    <t>Chiffrement des certificats cassé</t>
  </si>
  <si>
    <t>Hacker/acteur malveillant/Malware/Brute Force</t>
  </si>
  <si>
    <t>Certificat expiré et non renouvelé</t>
  </si>
  <si>
    <t>Serveur de publication des certificats (CA Intermédiaire) en panne</t>
  </si>
  <si>
    <t>Perte ou corruption des clés racine</t>
  </si>
  <si>
    <t>Vol de la base de données des certificats</t>
  </si>
  <si>
    <t>Génération indésirable / malveillante de certificats</t>
  </si>
  <si>
    <t>Employé / Hacker/acteur malveillant</t>
  </si>
  <si>
    <t>CRL expirée ou indisponible</t>
  </si>
  <si>
    <t>Serveur de gestion du parc Linux/Windows (Ansible)</t>
  </si>
  <si>
    <t xml:space="preserve">Serveur de gestion du parc (linux/Windows) compromis </t>
  </si>
  <si>
    <t>Accès non autorisé au serveur de gestion du parc (linux/Windows) par un tiers</t>
  </si>
  <si>
    <t>Backdoor/ hacker/ mauvaise configuration</t>
  </si>
  <si>
    <t xml:space="preserve">Serveur de gestion du parc (linux/Windows) non accessible </t>
  </si>
  <si>
    <t>Problème technique / Hacker / Physique</t>
  </si>
  <si>
    <t>Détournement des comptes de service utilisés par Ansible</t>
  </si>
  <si>
    <t>Mauvais suivi / documentation / gestion des changements de configuration du parc</t>
  </si>
  <si>
    <t>conflits entre playbooks de configuration et changements manuels sur les serveurs du parc</t>
  </si>
  <si>
    <t>Vol de secrets stockés en clair dans le fichiers de configuration du parc</t>
  </si>
  <si>
    <t xml:space="preserve">Serveur ERP non accessible </t>
  </si>
  <si>
    <t>Accès non désirable à l'ERP</t>
  </si>
  <si>
    <t>Modification frauduleuse des données financières</t>
  </si>
  <si>
    <t>Employé / hacker</t>
  </si>
  <si>
    <t>Perte des données internes stockées sur l'ERP (vol, chiffrement, corruption…)</t>
  </si>
  <si>
    <t>Mauvaise gestion de la base de données de l'ERP (complexification, ralentissement…)</t>
  </si>
  <si>
    <t>Données métier sensibles non chiffrées sur l'ERP</t>
  </si>
  <si>
    <t>Boycott / employés n'utilisant pas l'ERP</t>
  </si>
  <si>
    <t>Gestionnaire de secrets (Vault)</t>
  </si>
  <si>
    <t>Accès non autorisé au gestionnaire de secrets (Coffre-Fort)</t>
  </si>
  <si>
    <t>Acteur malveillant/employé/Backdoor</t>
  </si>
  <si>
    <t>Compromission du Coffre-Fort (= compromission des secrets de toute l'infra)</t>
  </si>
  <si>
    <t>Perte des clés de chiffrement du Coffre-Fort</t>
  </si>
  <si>
    <t>Accès / gestion des droits trop permissive sur le Coffre-Fort</t>
  </si>
  <si>
    <t>Mots de passe trop faibles / non renouvelés</t>
  </si>
  <si>
    <t>Boycott (ou évitement) du Coffre-Fort par les employés</t>
  </si>
  <si>
    <t>Mots de passes stockés en clair hors du Coffre fort</t>
  </si>
  <si>
    <t>Pas de backup du Coffre-Fort</t>
  </si>
  <si>
    <t>Echec de restauration d'une backup du coffre fort</t>
  </si>
  <si>
    <t>Sécurité (SIEM, EDR, EPP)</t>
  </si>
  <si>
    <t>Mauvaise remontée de logs</t>
  </si>
  <si>
    <t>Mauvaise configuration/acteur malveillant</t>
  </si>
  <si>
    <t>Accès non autorisé au SIEM</t>
  </si>
  <si>
    <t>Suppression de logs</t>
  </si>
  <si>
    <t>Mauvaise configuration/acteur malveillant/erreur humaine interne</t>
  </si>
  <si>
    <t>SIEM/EDR/EPP déconnectés du réseau</t>
  </si>
  <si>
    <t>Règles Proxy mal définies</t>
  </si>
  <si>
    <t>Mauvais routage Proxy</t>
  </si>
  <si>
    <t>Reverse Proxy Web</t>
  </si>
  <si>
    <t>Exposition accidentelle d’une app interne (Reverse Proxy)</t>
  </si>
  <si>
    <t>Attaque applicative par rebond (Reverse Proxy)</t>
  </si>
  <si>
    <t>Hacker/acteur malveillant/Malware</t>
  </si>
  <si>
    <t>Règles Reverse Proxy mal définies</t>
  </si>
  <si>
    <t>Mauvais routage (Reverse Proxy)</t>
  </si>
  <si>
    <t>Postes Windows / Linux</t>
  </si>
  <si>
    <t>Accès non autorisé par un tier aux Postes Windows / Linux</t>
  </si>
  <si>
    <t>Acteur malveillant/employé/backdoor</t>
  </si>
  <si>
    <t>Escalade de privilèges sur Postes Windows / Linux</t>
  </si>
  <si>
    <t>Acteur malveillant/employé</t>
  </si>
  <si>
    <t>Modification/suppression des données depuis les postes Windows / Linux</t>
  </si>
  <si>
    <t>Accès direct aux ports (USB notamment) et interfaces internes des machines</t>
  </si>
  <si>
    <t xml:space="preserve">Exploitation de failles/CVE/zero-day surles Postes utilisateurs </t>
  </si>
  <si>
    <t xml:space="preserve">Configurations faibles et exploitables car manque de hardening sur les machines </t>
  </si>
  <si>
    <t>Abus des comptes Admin local sur les Postes utilisateurs</t>
  </si>
  <si>
    <t>Employés / Hackers / Mauvaise configuration</t>
  </si>
  <si>
    <t>Postes Utilisateurs / applications sur les postes non mis à jour</t>
  </si>
  <si>
    <t>Accès physique aux données du disque dur car non chiffré</t>
  </si>
  <si>
    <t>Abus d'une segmentation faible entre les LANs pour Postes utilisateurs et le reste de l'infra</t>
  </si>
  <si>
    <t>Installation d'applications non autorisées sur les postes utilisateurs</t>
  </si>
  <si>
    <t xml:space="preserve">Navigateurs web non sécurisés sur les Postes utilisateurs </t>
  </si>
  <si>
    <t>Installation et exécution d'un virus sur un Poste utilisateur</t>
  </si>
  <si>
    <t>Menaces physiques</t>
  </si>
  <si>
    <t>Intrusion et vol de matériel informatique</t>
  </si>
  <si>
    <t>Intrusion et destruction de matériel informatique</t>
  </si>
  <si>
    <t>Incendies dans les locaux de l'entreprise</t>
  </si>
  <si>
    <t>Incendie accidentel ou malveillant</t>
  </si>
  <si>
    <t>Dégâts des eaux/inondations</t>
  </si>
  <si>
    <t>Montée des eaux, incident de tuyauterie</t>
  </si>
  <si>
    <t>Sabotage ou destruction accidentelle de l'alimentation électrique/fibre</t>
  </si>
  <si>
    <t>Destruction accidentelle (travaux, pelleteuse), acteur malveillant</t>
  </si>
  <si>
    <t>Accès physique et exploitation du mode recovery des machines</t>
  </si>
  <si>
    <t xml:space="preserve">Thèmes </t>
  </si>
  <si>
    <t>Mesure de sécurité</t>
  </si>
  <si>
    <t>Bien support</t>
  </si>
  <si>
    <t>Prévention</t>
  </si>
  <si>
    <t>Protection</t>
  </si>
  <si>
    <t>Récupération</t>
  </si>
  <si>
    <t>Audit &amp; traçabilité</t>
  </si>
  <si>
    <t>Politique de conservation des journaux + collecte légale des preuves post-incident</t>
  </si>
  <si>
    <t>Journaux systèmes, disques de logs, SIEM</t>
  </si>
  <si>
    <t>Authentification &amp; gestion des identifiants</t>
  </si>
  <si>
    <t>MFA + intégration Active Directory + politique de mot de passe robuste + SSO</t>
  </si>
  <si>
    <t>Active Directory, serveurs d'authentification</t>
  </si>
  <si>
    <t>Chiffrement</t>
  </si>
  <si>
    <t>Chiffrement des données sensibles (AES) + chiffrement des communications</t>
  </si>
  <si>
    <t>PKI interne, certificats, VPN</t>
  </si>
  <si>
    <t>Classification des données</t>
  </si>
  <si>
    <t>Étiquetage des données (public / interne / confidentiel) + contrôle des accès selon niveau</t>
  </si>
  <si>
    <t>ERP, serveurs de fichiers</t>
  </si>
  <si>
    <t>Continuité / reprise d’activité</t>
  </si>
  <si>
    <t>Plan de reprise (PRA) + redondance serveurs + sauvegardes externalisées</t>
  </si>
  <si>
    <t>Serveurs backup, cloud/offsite</t>
  </si>
  <si>
    <t>Contrôle d’accès</t>
  </si>
  <si>
    <t>Gestion des droits RBAC + restrictions par groupes AD</t>
  </si>
  <si>
    <t>Active Directory, ERP, fichiers</t>
  </si>
  <si>
    <t>Contrôle des applications</t>
  </si>
  <si>
    <t>Whitelisting applications + contrôle des scripts + restriction Windows XP</t>
  </si>
  <si>
    <t>Postes clients, antivirus, EDR</t>
  </si>
  <si>
    <t>Gestion des fournisseurs</t>
  </si>
  <si>
    <t>Contrats de sécurité + contrôle des accès prestataires + comptes temporaires</t>
  </si>
  <si>
    <t>VPN, accès externes, AD</t>
  </si>
  <si>
    <t>Organisation &amp; gouvernance</t>
  </si>
  <si>
    <t>Politique de sécurité SI + gestion des habilitations + procédures incident</t>
  </si>
  <si>
    <t>SIEM, documentation SI</t>
  </si>
  <si>
    <t>Politique poste de travail / sensibilisation</t>
  </si>
  <si>
    <t>USB contrôlées + sensibilisation phishing + verrouillage session automatique</t>
  </si>
  <si>
    <t>Postes utilisateurs, périphériques amovibles</t>
  </si>
  <si>
    <t>Protection des données</t>
  </si>
  <si>
    <t>DLP (Data Loss Prevention) + restriction exfiltration + chiffrement stockage</t>
  </si>
  <si>
    <t>Serveurs fichiers, messagerie</t>
  </si>
  <si>
    <t>Sauvegarde</t>
  </si>
  <si>
    <t>Sauvegardes automatiques quotidiennes + copies hors ligne + tests de restauration</t>
  </si>
  <si>
    <t>Serveurs backup, NAS</t>
  </si>
  <si>
    <t>Segmentation du réseau</t>
  </si>
  <si>
    <t>VLAN (production / admin / invité / DMZ) + firewall inter-zones</t>
  </si>
  <si>
    <t>Firewalls, switches, routeurs</t>
  </si>
  <si>
    <t>Surveillance &amp; détection</t>
  </si>
  <si>
    <t>SIEM + IDS/IPS + alertes comportementales (logs AD, VPN, web)</t>
  </si>
  <si>
    <t>SIEM, logs centralisés</t>
  </si>
  <si>
    <t>Surveillance physique de l'infrastructure</t>
  </si>
  <si>
    <t>Extincteur + local serveur ventilé + locaux de l'entreprise verrouillés + deuxième ligne de fibre + antenne 5G</t>
  </si>
  <si>
    <t>Extincteurs, système de ventilation, serrure et verrous électroniques</t>
  </si>
  <si>
    <t>Surveillance environnementale</t>
  </si>
  <si>
    <t>Deuxième ligne de fibre + antenne 5G</t>
  </si>
  <si>
    <t>Lignes de fibres (FTTO/FTTH), antenne 5G</t>
  </si>
  <si>
    <t>Lien Mitre Att&amp;ch enterprise techniques :</t>
  </si>
  <si>
    <t>https://attack.mitre.org/techniques/enterprise/</t>
  </si>
  <si>
    <t>Mesure de détection</t>
  </si>
  <si>
    <t>Tactique MITRE</t>
  </si>
  <si>
    <t>Technique MITRE</t>
  </si>
  <si>
    <t>Authentification AD</t>
  </si>
  <si>
    <t>Détection brute force + alertes login anormaux</t>
  </si>
  <si>
    <t>Active Directory / SIEM</t>
  </si>
  <si>
    <t>Credential Access</t>
  </si>
  <si>
    <t>Brute Force (T1110)</t>
  </si>
  <si>
    <t>Détection connexion hors horaires / pays inhabituels</t>
  </si>
  <si>
    <t>AD / VPN logs</t>
  </si>
  <si>
    <t>Initial Access</t>
  </si>
  <si>
    <t>Valid Accounts (T1078)</t>
  </si>
  <si>
    <t>Alertes accès VPN suspects / multi-échecs</t>
  </si>
  <si>
    <t>VPN / Firewall</t>
  </si>
  <si>
    <t>Détection session détournée</t>
  </si>
  <si>
    <t>VPN gateway</t>
  </si>
  <si>
    <t>Session Hijacking (T1563)</t>
  </si>
  <si>
    <t>Détection suppression massive de fichiers</t>
  </si>
  <si>
    <t>File server / SIEM</t>
  </si>
  <si>
    <t>Impact</t>
  </si>
  <si>
    <t>Data Destruction (T1485)</t>
  </si>
  <si>
    <t>Alertes modification permissions anormales</t>
  </si>
  <si>
    <t>AD / file audit logs</t>
  </si>
  <si>
    <t>Privilege Escalation</t>
  </si>
  <si>
    <t>Permission Groups Discovery (T1069)</t>
  </si>
  <si>
    <t>Ransomware</t>
  </si>
  <si>
    <t>Détection chiffrement massif fichiers</t>
  </si>
  <si>
    <t>EDR / antivirus</t>
  </si>
  <si>
    <t>Data Encrypted for Impact (T1486)</t>
  </si>
  <si>
    <t>Détection création comptes admin</t>
  </si>
  <si>
    <t>AD audit logs</t>
  </si>
  <si>
    <t>Persistence</t>
  </si>
  <si>
    <t>Account Manipulation (T1098)</t>
  </si>
  <si>
    <t>Détection modifications GPO</t>
  </si>
  <si>
    <t>AD / SIEM</t>
  </si>
  <si>
    <t>Group Policy Modification (T1484)</t>
  </si>
  <si>
    <t>Détection scan ports / trafic anormal</t>
  </si>
  <si>
    <t>Firewall / IDS</t>
  </si>
  <si>
    <t>Discovery</t>
  </si>
  <si>
    <t>Network Service Scanning (T1046)</t>
  </si>
  <si>
    <t>Détection règles modifiées</t>
  </si>
  <si>
    <t>Firewall logs</t>
  </si>
  <si>
    <t>Defense Evasion</t>
  </si>
  <si>
    <t>Modify System Firewall (T1562.004)</t>
  </si>
  <si>
    <t>DNS</t>
  </si>
  <si>
    <t>Détection requêtes DNS suspectes</t>
  </si>
  <si>
    <t>DNS logs</t>
  </si>
  <si>
    <t>Command &amp; Control</t>
  </si>
  <si>
    <t>DNS Tunneling (T1071.004)</t>
  </si>
  <si>
    <t>Détection domaines malveillants</t>
  </si>
  <si>
    <t>DNS filter / blacklist</t>
  </si>
  <si>
    <t>Domain Generation Algorithms (T1568)</t>
  </si>
  <si>
    <t>Web / extranet</t>
  </si>
  <si>
    <t>Détection injection SQL</t>
  </si>
  <si>
    <t>WAF</t>
  </si>
  <si>
    <t>SQL Injection (T1190)</t>
  </si>
  <si>
    <t>Détection modification site</t>
  </si>
  <si>
    <t>Web server logs</t>
  </si>
  <si>
    <t>Defacement (T1491)</t>
  </si>
  <si>
    <t>Détection phishing / pièces jointes suspectes</t>
  </si>
  <si>
    <t>Mail gateway</t>
  </si>
  <si>
    <t>Phishing (T1566)</t>
  </si>
  <si>
    <t>Détection spoofing email</t>
  </si>
  <si>
    <t>Mail security</t>
  </si>
  <si>
    <t>Spoofing (T1585)</t>
  </si>
  <si>
    <t>Backup</t>
  </si>
  <si>
    <t>Détection suppression sauvegardes</t>
  </si>
  <si>
    <t>Backup logs</t>
  </si>
  <si>
    <t>Data Destruction (T1490)</t>
  </si>
  <si>
    <t>Détection échec backup planifié</t>
  </si>
  <si>
    <t>Backup system</t>
  </si>
  <si>
    <t>Data Backup Deletion (T1485)</t>
  </si>
  <si>
    <t>Détection certificat frauduleux</t>
  </si>
  <si>
    <t>PKI logs</t>
  </si>
  <si>
    <t>Valid Certificates (T1553)</t>
  </si>
  <si>
    <t>Détection usage certificat expiré</t>
  </si>
  <si>
    <t>PKI / monitoring</t>
  </si>
  <si>
    <t>Subvert Trust Controls (T1553)</t>
  </si>
  <si>
    <t>Détection élévation privilèges</t>
  </si>
  <si>
    <t>Bastion logs</t>
  </si>
  <si>
    <t>Exploitation for Privilege Escalation (T1068)</t>
  </si>
  <si>
    <t>Détection accès admin non autorisé</t>
  </si>
  <si>
    <t>Bastion / SIEM</t>
  </si>
  <si>
    <t>Détection modification données financières</t>
  </si>
  <si>
    <t>ERP logs</t>
  </si>
  <si>
    <t>Data Manipulation (T1565)</t>
  </si>
  <si>
    <t>Détection requêtes anormales API</t>
  </si>
  <si>
    <t>API logs / SIEM</t>
  </si>
  <si>
    <t>Exploit Public-Facing App (T1190)</t>
  </si>
  <si>
    <t>SIEM / supervision</t>
  </si>
  <si>
    <t>Détection perte de logs</t>
  </si>
  <si>
    <t>SIEM health check</t>
  </si>
  <si>
    <t>Indicator Removal (T1070)</t>
  </si>
  <si>
    <t>Détection désactivation agent</t>
  </si>
  <si>
    <t>EDR / SIEM</t>
  </si>
  <si>
    <t>Disable Security Tools (T1562)</t>
  </si>
  <si>
    <t>Poste utilisateur</t>
  </si>
  <si>
    <t>Détection malware exécution</t>
  </si>
  <si>
    <t>Execution</t>
  </si>
  <si>
    <t>User Execution (T1204)</t>
  </si>
  <si>
    <t>Détection USB suspect</t>
  </si>
  <si>
    <t>EDR / endpoint policy</t>
  </si>
  <si>
    <t>Removable Media (T1091)</t>
  </si>
  <si>
    <t>Réseau / connectivité</t>
  </si>
  <si>
    <t>Déection de la charge sur le réseau et de son interruption</t>
  </si>
  <si>
    <t>Routeur / Parefeu</t>
  </si>
  <si>
    <t>Sécurité physique</t>
  </si>
  <si>
    <t xml:space="preserve">Détection d'intrusion </t>
  </si>
  <si>
    <t>Alarme</t>
  </si>
  <si>
    <t>Environnement / Matériel</t>
  </si>
  <si>
    <t>Détection de fumée ou température de la pièce</t>
  </si>
  <si>
    <t>Détecteur de fumée / Thermomètre</t>
  </si>
  <si>
    <t>Environnement / Energie</t>
  </si>
  <si>
    <t>Détection de la perte d'alimentation et passage sur onduleur avant éteingnege des machines</t>
  </si>
  <si>
    <t>Onduleur</t>
  </si>
  <si>
    <t>Evènements</t>
  </si>
  <si>
    <t>Menace</t>
  </si>
  <si>
    <t>Prise en compte des mesures de sécurité</t>
  </si>
  <si>
    <t>ID</t>
  </si>
  <si>
    <t>Source du risque</t>
  </si>
  <si>
    <t>Scénario de menace</t>
  </si>
  <si>
    <t>Mesure de sécurité existante</t>
  </si>
  <si>
    <t xml:space="preserve">Bien support </t>
  </si>
  <si>
    <t>Réévaluation de l'impact</t>
  </si>
  <si>
    <t>Réévaluation de la vraisemblance</t>
  </si>
  <si>
    <t>Mesure de détection existante</t>
  </si>
  <si>
    <t>Capacité en mesure de détection</t>
  </si>
  <si>
    <t>Perte ou altération de données</t>
  </si>
  <si>
    <t>Sauvegardes / ACL strictes / MFA / versioning / revue des droits</t>
  </si>
  <si>
    <t>SIEM sur accès fichiers / alertes suppression massive / logs NTFS</t>
  </si>
  <si>
    <t>Données incohérentes ou indisponibles</t>
  </si>
  <si>
    <t>Supervision réplication / tests réguliers / procédures de rollback</t>
  </si>
  <si>
    <t>Monitoring réplication / alertes latence / contrôle intégrité</t>
  </si>
  <si>
    <t>Perte définitive de données</t>
  </si>
  <si>
    <t>RAID renforcé / disques hot‑spare / monitoring matériel / PRA</t>
  </si>
  <si>
    <t>Alertes SMART / supervision RAID / détection erreurs I/O</t>
  </si>
  <si>
    <t>Supervision RAID / détection erreurs I/O</t>
  </si>
  <si>
    <t>Perte de données métier essentielles</t>
  </si>
  <si>
    <t>Recycle bin / versioning / sauvegardes fréquentes / restrictions d’accès</t>
  </si>
  <si>
    <t>Alertes suppression volumétrique / journalisation accès</t>
  </si>
  <si>
    <t>Indisponibilité totale des données + risque d’extorsion</t>
  </si>
  <si>
    <t>EDR / segmentation / sauvegardes immuables / filtrage mail / durcissement postes</t>
  </si>
  <si>
    <t>Détection comportementale EDR / alertes chiffrement massif</t>
  </si>
  <si>
    <t>Arrêt complet de l’activité dépendante des données</t>
  </si>
  <si>
    <t>Redondance stockage / cluster  / supervision disponibilité</t>
  </si>
  <si>
    <t>Monitoring disponibilité / alertes latence / tests automatiques</t>
  </si>
  <si>
    <t>Exposition ou modification non autorisée de données</t>
  </si>
  <si>
    <t>Revue régulière des droits / IAM / RBAC</t>
  </si>
  <si>
    <t>Audit permissions / alertes SIEM accès anormaux</t>
  </si>
  <si>
    <t>Intrusion dans le SI et accès aux données internes</t>
  </si>
  <si>
    <t>MFA (authentification AD + certificats)</t>
  </si>
  <si>
    <t>journalisation des connexions / alertes SIEM basées sur les attributs (localisation de l'employé, heure…)</t>
  </si>
  <si>
    <t>Durcissement des postes utilisateurs /  révocation des tokens d'authentification VPN</t>
  </si>
  <si>
    <t>journalisation des connexions / alerte manuelle des utilisateurs dn cas de vol</t>
  </si>
  <si>
    <t>Utilisation malveillante d’un service interne</t>
  </si>
  <si>
    <t>Durcissement services / cloisonnement</t>
  </si>
  <si>
    <t>SIEM / détection usage anormal / logs applicatifs</t>
  </si>
  <si>
    <t>Perte d’accès aux services internes/externe</t>
  </si>
  <si>
    <t>Redondance DNS / supervision / anycast / PRA</t>
  </si>
  <si>
    <t>Monitoring disponibilité DNS / alertes latence</t>
  </si>
  <si>
    <t>Interruption de service ou fraude</t>
  </si>
  <si>
    <t>DNSSEC / durcissement serveurs DNS / contrôle des zones</t>
  </si>
  <si>
    <t>Analyse logs DNS / détection anomalies requêtes</t>
  </si>
  <si>
    <t>Perte de résolution externe</t>
  </si>
  <si>
    <t>Redondance / supervision réseau / ban IP firewall</t>
  </si>
  <si>
    <t>Monitoring connectivité / alertes perte de liaison</t>
  </si>
  <si>
    <t>Détournement massif du trafic</t>
  </si>
  <si>
    <t>durcissement / accès restreints / MFA admin / segmentation</t>
  </si>
  <si>
    <t>SIEM DNS / détection modification zones / alertes admin</t>
  </si>
  <si>
    <t>Redirection vers sites malveillants</t>
  </si>
  <si>
    <t>DNSSEC / validation réponses / durcissement résolveurs</t>
  </si>
  <si>
    <t>Détection incohérences DNS / logs résolveurs</t>
  </si>
  <si>
    <t>Exposition de la structure interne du SI</t>
  </si>
  <si>
    <t>Restriction AXFR / IP allow‑list / DNSSEC / durcissement serveurs DNS</t>
  </si>
  <si>
    <t>Logs DNS / alertes requêtes AXFR dans le SIEM</t>
  </si>
  <si>
    <t>Perte de confiance dans le DNS</t>
  </si>
  <si>
    <t>rotation clés / procédures de gestion</t>
  </si>
  <si>
    <t>Alertes expiration clés / logs signature</t>
  </si>
  <si>
    <t>Compromission des accès administrateurs</t>
  </si>
  <si>
    <t>MFA / durcissement / IP allow‑list / segmentation / rotation des secrets</t>
  </si>
  <si>
    <t>SIEM / alertes connexion anormale / logs bastion</t>
  </si>
  <si>
    <t>Contrôle total des accès sensibles</t>
  </si>
  <si>
    <t>Isolation forte / durcissement / EDR / comptes dédiés / supervision renforcée</t>
  </si>
  <si>
    <t>Détection EDR / alertes élévation privilèges / analyse comportementale</t>
  </si>
  <si>
    <t>Compromission facilitée des accès admin</t>
  </si>
  <si>
    <t>Durcissement OS / MFA / segmentation / patching</t>
  </si>
  <si>
    <t>SIEM / alertes connexions anormales</t>
  </si>
  <si>
    <t>Impossibilité d’administrer le SI</t>
  </si>
  <si>
    <t>Redondance / PRA / accès d’urgence / supervision disponibilité</t>
  </si>
  <si>
    <t>Accès direct aux machines de prod</t>
  </si>
  <si>
    <t>Segmentation stricte / firewall / interdiction accès direct</t>
  </si>
  <si>
    <t>SIEM / détection connexions directes / alertes flux interdits</t>
  </si>
  <si>
    <t>Actions malveillantes non détectées</t>
  </si>
  <si>
    <t>Journalisation / enregistrement sessions / alertes comportementales</t>
  </si>
  <si>
    <t>Détection actions anormales / logs bastion</t>
  </si>
  <si>
    <t>Accès non légitimes non révoqués</t>
  </si>
  <si>
    <t>Gouvernance IAM / revue régulière des droits / automatisation provisioning‑deprovisioning / RBAC</t>
  </si>
  <si>
    <t>Audit IAM / alertes comptes inactifs / SIEM accès anormaux</t>
  </si>
  <si>
    <t>Blocage des authentifications</t>
  </si>
  <si>
    <t>Redondance DC / comptes d’urgence / PRA / segmentation</t>
  </si>
  <si>
    <t>Monitoring DC / alertes réplication / supervision authentification</t>
  </si>
  <si>
    <t>Contrôle total des identités</t>
  </si>
  <si>
    <t>Tiering / durcissement / EDR / MFA admin / segmentation / logs renforcés</t>
  </si>
  <si>
    <t>SIEM AD / détection élévation privilèges / alertes modification GPO</t>
  </si>
  <si>
    <t>Perte totale du système d’identités</t>
  </si>
  <si>
    <t>Sauvegardes offline / PRA / EDR / segmentation / durcissement DC</t>
  </si>
  <si>
    <t>Détection comportementale EDR / alertes chiffrement / logs AD</t>
  </si>
  <si>
    <t>Attaque sur les identités</t>
  </si>
  <si>
    <t>Filtrage firewall / cloisonnement / interdiction accès externes / durcissement LDAP</t>
  </si>
  <si>
    <t>Scan exposition / SIEM / alertes connexions externes</t>
  </si>
  <si>
    <t>Escalade de privilèges</t>
  </si>
  <si>
    <t>MFA admin / bastion / RBAC / journalisation avancée / durcissement</t>
  </si>
  <si>
    <t>Alertes modification objets AD / SIEM / détection privilèges</t>
  </si>
  <si>
    <t>Perte de visibilité sur AD</t>
  </si>
  <si>
    <t>Journalisation  / centralisation / SIEM / durcissement</t>
  </si>
  <si>
    <t>Healthcheck (Alertes absence logs)</t>
  </si>
  <si>
    <t>Dysfonctionnement global des identités</t>
  </si>
  <si>
    <t>Supervision réplication / tests réguliers / durcissement</t>
  </si>
  <si>
    <t>Alertes réplication / logs DC</t>
  </si>
  <si>
    <t>Perte du système d’identités</t>
  </si>
  <si>
    <t>Sauvegardes autorisées / immutabilité / PRA / tests restauration</t>
  </si>
  <si>
    <t>Alertes échec backup / logs restauration</t>
  </si>
  <si>
    <t>Audit des droits / moindre privilège</t>
  </si>
  <si>
    <t>audit régulier</t>
  </si>
  <si>
    <t>Perte de contrôle du périmètre</t>
  </si>
  <si>
    <t>Redondance firewall / comptes d’urgence / segmentation / durcissement</t>
  </si>
  <si>
    <t>Monitoring disponibilité / alertes changement config</t>
  </si>
  <si>
    <t>Intrusion dans le SI</t>
  </si>
  <si>
    <t>IPS/IDS / durcissement règles / revue régulière / segmentation / MFA admin</t>
  </si>
  <si>
    <t>SIEM / détection scans / alertes intrusion / logs firewall</t>
  </si>
  <si>
    <t>Indisponibilité des services exposés</t>
  </si>
  <si>
    <t>Anti‑DDoS / CDN / filtrage / redondance liens / scrubbing center</t>
  </si>
  <si>
    <t>Monitoring volumétrie / alertes saturation / analyse trafic</t>
  </si>
  <si>
    <t>Perte de protection périmétrique</t>
  </si>
  <si>
    <t>Redondance HA / PRA / supervision / maintenance proactive</t>
  </si>
  <si>
    <t>Monitoring disponibilité / alertes bascule cluster</t>
  </si>
  <si>
    <t>Accès non autorisé</t>
  </si>
  <si>
    <t>Revue règles / segmentation / automatisation déploiement / validation config</t>
  </si>
  <si>
    <t>Scan exposition / SIEM / alertes ouverture ports</t>
  </si>
  <si>
    <t>Ouverture de failles critiques</t>
  </si>
  <si>
    <t>Revue par pairs / automatisation / CI‑CD infra / segmentation</t>
  </si>
  <si>
    <t>Alertes modification règles / audit config / SIEM</t>
  </si>
  <si>
    <t>Accès non autorisé au réseau interne</t>
  </si>
  <si>
    <t>Segmentation stricte / firewall interne / NAC / micro‑segmentation</t>
  </si>
  <si>
    <t>SIEM / détection flux interdits</t>
  </si>
  <si>
    <t>Ouverture de failles réseau</t>
  </si>
  <si>
    <t>Gouvernance / revue règles / CI‑CD</t>
  </si>
  <si>
    <t>Audit règles</t>
  </si>
  <si>
    <t>Absence de surveillance réseau</t>
  </si>
  <si>
    <t>Activation logs / centralisation</t>
  </si>
  <si>
    <t>Monitoring flux</t>
  </si>
  <si>
    <t>Défiguration / perte d’image</t>
  </si>
  <si>
    <t>WAF / durcissement serveur / CI‑CD sécurisé / contrôle intégrité / patching</t>
  </si>
  <si>
    <t>Monitoring intégrité fichiers / SIEM / alertes modification contenu</t>
  </si>
  <si>
    <t>Fuite de données</t>
  </si>
  <si>
    <t>Scan vulnérabilités / durcissement API / chiffrement / revue code / WAF</t>
  </si>
  <si>
    <t>Scan exposition / alertes fuite données / SIEM</t>
  </si>
  <si>
    <t>Compromission de l’application</t>
  </si>
  <si>
    <t>WAF / validation entrées / ORM / revue code / patching / segmentation</t>
  </si>
  <si>
    <t>WAF signatures / détection patterns injection / logs applicatifs</t>
  </si>
  <si>
    <t>Segmentation / WAF / durcissement / EDR / patching</t>
  </si>
  <si>
    <t>SIEM / détection mouvements latéraux / logs web</t>
  </si>
  <si>
    <t>Intrusion dans les services internes</t>
  </si>
  <si>
    <t>Segmentation / durcissement / comptes dédiés / WAF</t>
  </si>
  <si>
    <t>Logs web / WAF</t>
  </si>
  <si>
    <t>Exploitation de vulnérabilités connues</t>
  </si>
  <si>
    <t>Patching / supervision vulnérabilités / CI‑CD</t>
  </si>
  <si>
    <t>Scan vulnérabilités</t>
  </si>
  <si>
    <t>Indisponibilité du service en ligne</t>
  </si>
  <si>
    <t>Anti‑DDoS / CDN / filtrage</t>
  </si>
  <si>
    <t>Monitoring volumétrie / Monitoring  site web</t>
  </si>
  <si>
    <t>Fuite de données sensibles</t>
  </si>
  <si>
    <t>Chiffrement BDD / segmentation / durcissement / comptes dédiés</t>
  </si>
  <si>
    <t>Transfert frauduleux de fonds</t>
  </si>
  <si>
    <t>Procédures de validation / double‑contrôle / sensibilisation</t>
  </si>
  <si>
    <t>Analyse anomalies virements / alertes fraude</t>
  </si>
  <si>
    <t>Compromission de comptes</t>
  </si>
  <si>
    <t>Anti‑phishing / MFA / sensibilisation / sandbox mail</t>
  </si>
  <si>
    <t>Détection URL malveillantes / alertes clics / EDR</t>
  </si>
  <si>
    <t>Perte de communication</t>
  </si>
  <si>
    <t>Redondance / PRA / supervision / cluster</t>
  </si>
  <si>
    <t>Monitoring disponibilité / alertes latence</t>
  </si>
  <si>
    <t>Usurpation et fraude</t>
  </si>
  <si>
    <t>MFA / durcissement / rotation secrets / détection anomalies</t>
  </si>
  <si>
    <t>SIEM / alertes connexions anormales / UEBA</t>
  </si>
  <si>
    <t>Accès aux communications sensibles</t>
  </si>
  <si>
    <t>Segmentation / durcissement / EDR / patching / accès restreints</t>
  </si>
  <si>
    <t>Logs mail / alertes exfiltration / EDR</t>
  </si>
  <si>
    <t>Usurpation d’identité de l’entreprise</t>
  </si>
  <si>
    <t>SPF / DKIM / DMARC / anti‑spoofing</t>
  </si>
  <si>
    <t>Interception ou altération des communications</t>
  </si>
  <si>
    <t>TLS obligatoire</t>
  </si>
  <si>
    <t>Alertes downgrade TLS</t>
  </si>
  <si>
    <t>Vol d’identifiants de messagerie</t>
  </si>
  <si>
    <t>SSO</t>
  </si>
  <si>
    <t>Logs authentification</t>
  </si>
  <si>
    <t>Réception de mails malveillants</t>
  </si>
  <si>
    <t>Durcissement / tuning</t>
  </si>
  <si>
    <t>Détection malware</t>
  </si>
  <si>
    <t>Mauvaise expérience utilisateur pour les employés</t>
  </si>
  <si>
    <t>Exposition des communications sensibles</t>
  </si>
  <si>
    <t>TLS / chiffrement stockage</t>
  </si>
  <si>
    <t>scan &amp; audit configuration</t>
  </si>
  <si>
    <t>Exploitation de postes utilisateur</t>
  </si>
  <si>
    <t>Patching</t>
  </si>
  <si>
    <t>Fuite de données via appareils non maîtrisés</t>
  </si>
  <si>
    <t>restrictions</t>
  </si>
  <si>
    <t>Logs</t>
  </si>
  <si>
    <t>Exécution de code malveillant</t>
  </si>
  <si>
    <t>Validation plugins / patching</t>
  </si>
  <si>
    <t>Perte de capacité de restauration</t>
  </si>
  <si>
    <t>Redondance / PRA / supervision / maintenance</t>
  </si>
  <si>
    <t>Monitoring disponibilité / alertes échec backup</t>
  </si>
  <si>
    <t>Absence de sauvegarde exploitable</t>
  </si>
  <si>
    <t>Supervision jobs / alertes / redondance / tests restauration</t>
  </si>
  <si>
    <t>Alertes échec tâches / SIEM</t>
  </si>
  <si>
    <t>Manipulation ou suppression des sauvegardes</t>
  </si>
  <si>
    <t>Supervision réseau / segmentation / validation connectivité</t>
  </si>
  <si>
    <t>Monitoring connectivité / alertes réseau</t>
  </si>
  <si>
    <t>Perte ou altération des sauvegardes</t>
  </si>
  <si>
    <t>Chiffrement / immutabilité / segmentation / durcissement</t>
  </si>
  <si>
    <t>Détection modification backup / logs accès</t>
  </si>
  <si>
    <t>Escalade de privilèges / mouvement latéral</t>
  </si>
  <si>
    <t>MFA / rotation secrets / segmentation</t>
  </si>
  <si>
    <t>Logs accès</t>
  </si>
  <si>
    <t>Perte totale de capacité de restauration</t>
  </si>
  <si>
    <t>Réplication / stockage offsite / immutabilité</t>
  </si>
  <si>
    <t>Monitoring stockage</t>
  </si>
  <si>
    <t>Restauration impossible / échec</t>
  </si>
  <si>
    <t>Tests restauration / cohérence BDD</t>
  </si>
  <si>
    <t>Absence de sauvegardes complètes</t>
  </si>
  <si>
    <t>Capacity planning / supervision</t>
  </si>
  <si>
    <t>Perte totale de confiance du SI</t>
  </si>
  <si>
    <t>LSM (SELinux) / isolation / MFA / rotation clés / audits</t>
  </si>
  <si>
    <t>Alertes accès CA / logs signature / SIEM</t>
  </si>
  <si>
    <t>Délivrance de certificats frauduleux</t>
  </si>
  <si>
    <t>Durcissement / segmentation / rotation certificats / HSM</t>
  </si>
  <si>
    <t>Détection certificats anormaux / SIEM</t>
  </si>
  <si>
    <t>Interception des communications</t>
  </si>
  <si>
    <t>Protocoles modernes / rotation clés / TLS 1.3 / audits crypto</t>
  </si>
  <si>
    <t>Scan configuration / alertes faiblesse crypto</t>
  </si>
  <si>
    <t>Interruption de services sécurisés</t>
  </si>
  <si>
    <t>Supervision certificats / renouvellement auto / inventaire</t>
  </si>
  <si>
    <t>Alertes expiration / monitoring services</t>
  </si>
  <si>
    <t>Impossibilité de gérer les certificats</t>
  </si>
  <si>
    <t>Redondance / PRA / supervision</t>
  </si>
  <si>
    <t>Perte de confiance dans l’infrastructure de certificats</t>
  </si>
  <si>
    <t>sauvegardes offline</t>
  </si>
  <si>
    <t>Alertes accès</t>
  </si>
  <si>
    <t>Usurpation d’identité via certificats frauduleux</t>
  </si>
  <si>
    <t>Chiffrement / segmentation / durcissement</t>
  </si>
  <si>
    <t>Usurpation de notre authorité de certification</t>
  </si>
  <si>
    <t>MFA admin</t>
  </si>
  <si>
    <t>Validation impossible des certificats révoqués</t>
  </si>
  <si>
    <t>Supervision / redondance / OCSP</t>
  </si>
  <si>
    <t>Alertes expiration</t>
  </si>
  <si>
    <t>Intrusion et contrôle du système</t>
  </si>
  <si>
    <t>Segmentation / durcissement / EDR / MFA admin</t>
  </si>
  <si>
    <t>SIEM / EDR / alertes élévation privilèges</t>
  </si>
  <si>
    <t>Bastion / MFA / RBAC / segmentation</t>
  </si>
  <si>
    <t>Logs admin / alertes connexion / SIEM</t>
  </si>
  <si>
    <t>Impossibilité d'administrer</t>
  </si>
  <si>
    <t>Monitoring disponibilité</t>
  </si>
  <si>
    <t>Modification non autorisée de la configuration du SI</t>
  </si>
  <si>
    <t>Rotation secrets / durcissement</t>
  </si>
  <si>
    <t>Logs Ansible / alertes exécution</t>
  </si>
  <si>
    <t>Perte de maîtrise de la configuration du parc</t>
  </si>
  <si>
    <t>CI‑CD / documentation / revue</t>
  </si>
  <si>
    <t>Logs Ansible</t>
  </si>
  <si>
    <t>Dysfonctionnements des serveurs</t>
  </si>
  <si>
    <t>CI‑CD / interdiction changements manuels / audit</t>
  </si>
  <si>
    <t>Exfiltration d’identifiants sensibles</t>
  </si>
  <si>
    <t>Vault / chiffrement / rotation</t>
  </si>
  <si>
    <t>Interruption des processus métiers critiques (facturation, production, achats)</t>
  </si>
  <si>
    <t>Redondance / PRA / supervision / segmentation</t>
  </si>
  <si>
    <t>Fraude ou accès illégitime</t>
  </si>
  <si>
    <t>MFA / anti‑phishing / durcissement / sensibilisation</t>
  </si>
  <si>
    <t>SIEM / alertes connexions suspectes</t>
  </si>
  <si>
    <t>Falsification comptable</t>
  </si>
  <si>
    <t>RBAC / journalisation / séparation des rôles / audits</t>
  </si>
  <si>
    <t>Alertes modification données / SIEM</t>
  </si>
  <si>
    <t>Fuite de données stratégiques</t>
  </si>
  <si>
    <t>Sauvegardes / chiffrement / durcissement</t>
  </si>
  <si>
    <t>alertes modification</t>
  </si>
  <si>
    <t>Dégradation des performances métier</t>
  </si>
  <si>
    <t xml:space="preserve">Optimisation / supervision </t>
  </si>
  <si>
    <t>Monitoring performance</t>
  </si>
  <si>
    <t>Chiffrement / segmentation / RBAC</t>
  </si>
  <si>
    <t>logs accès</t>
  </si>
  <si>
    <t>Perte de cohérence des processus internes</t>
  </si>
  <si>
    <t>Formation / UX</t>
  </si>
  <si>
    <t>Enquêtes</t>
  </si>
  <si>
    <t>Compromission des identifiants et secrets critiques du SI</t>
  </si>
  <si>
    <t>MFA / segmentation / HSM / rotation secrets</t>
  </si>
  <si>
    <t>Logs accès / alertes extraction / SIEM</t>
  </si>
  <si>
    <t>Compromission de tous les secrets de l’infrastructure</t>
  </si>
  <si>
    <t>MFA / segmentation  / durcissement</t>
  </si>
  <si>
    <t>Perte d’accès aux secrets critiques</t>
  </si>
  <si>
    <t>Sauvegardes offline</t>
  </si>
  <si>
    <t>Audit droits / Logs accès</t>
  </si>
  <si>
    <t>Accès non autorisé aux secrets</t>
  </si>
  <si>
    <t>RBAC / revue droits / MFA</t>
  </si>
  <si>
    <t>Compromission rapide des comptes</t>
  </si>
  <si>
    <t>MFA / rotation / politique MDP</t>
  </si>
  <si>
    <t>audit</t>
  </si>
  <si>
    <t>Secrets stockés hors contrôle</t>
  </si>
  <si>
    <t>Gouvernance</t>
  </si>
  <si>
    <t>Fuite immédiate d’identifiants</t>
  </si>
  <si>
    <t>Sensibilisation / interdiction</t>
  </si>
  <si>
    <t>Perte définitive des secrets</t>
  </si>
  <si>
    <t>Sauvegardes / PRA</t>
  </si>
  <si>
    <t>Monitoring backup</t>
  </si>
  <si>
    <t>Indisponibilité des secrets nécessaires au SI</t>
  </si>
  <si>
    <t>Tests restauration / PRA</t>
  </si>
  <si>
    <t>Perte de visibilité sur incidents</t>
  </si>
  <si>
    <t>Supervision pipeline / redondance / validation intégrité</t>
  </si>
  <si>
    <t>Monitoring flux logs / alertes absence données</t>
  </si>
  <si>
    <t>Manipulation ou suppression des alertes de sécurité</t>
  </si>
  <si>
    <t>MFA / segmentation / RBAC / durcissement</t>
  </si>
  <si>
    <t>Logs admin / alertes modification règles</t>
  </si>
  <si>
    <t>Effacement de traces d’attaque</t>
  </si>
  <si>
    <t>Immutabilité / stockage WORM / journalisation avancée</t>
  </si>
  <si>
    <t>Alertes suppression / monitoring intégrité</t>
  </si>
  <si>
    <t>Perte de visibilité et incapacité à détecter les attaques</t>
  </si>
  <si>
    <t>Supervision agents / redondance / tests connectivité</t>
  </si>
  <si>
    <t>Alertes agent offline / monitoring flux</t>
  </si>
  <si>
    <t>Accès non contrôlé à Internet ou blocage de services essentiels</t>
  </si>
  <si>
    <t>Revue règles / segmentation / CI‑CD infra</t>
  </si>
  <si>
    <t>Logs proxy / alertes blocages anormaux</t>
  </si>
  <si>
    <t>Interruption ou détournement du trafic sortant</t>
  </si>
  <si>
    <t>Supervision / documentation / automatisation</t>
  </si>
  <si>
    <t>Monitoring routage / alertes anomalies</t>
  </si>
  <si>
    <t>Segmentation / revue règles / durcissement</t>
  </si>
  <si>
    <t>Scan exposition / SIEM</t>
  </si>
  <si>
    <t>Propagation d’attaque</t>
  </si>
  <si>
    <t>WAF / segmentation / durcissement</t>
  </si>
  <si>
    <t>WAF signatures / logs applicatifs</t>
  </si>
  <si>
    <t>Exposition involontaire d’applications internes ou indisponibilité des services web</t>
  </si>
  <si>
    <t>CI‑CD / revue par pairs / segmentation</t>
  </si>
  <si>
    <t>Scan exposition / alertes ouverture ports</t>
  </si>
  <si>
    <t>Indisponibilité des applications exposées ou redirection vers de mauvaises ressources</t>
  </si>
  <si>
    <t>Compromission de données/applications</t>
  </si>
  <si>
    <t>Durcissement / EDR / segmentation</t>
  </si>
  <si>
    <t>EDR / SIEM / alertes connexion</t>
  </si>
  <si>
    <t>Contrôle étendu du SI</t>
  </si>
  <si>
    <t>Patching / EDR / durcissement / RBAC</t>
  </si>
  <si>
    <t>EDR / alertes élévation privilèges</t>
  </si>
  <si>
    <t>Perte d’intégrité des données</t>
  </si>
  <si>
    <t>RBAC / durcissement / sauvegardes / EDR</t>
  </si>
  <si>
    <t>Logs fichiers / alertes suppression massive</t>
  </si>
  <si>
    <t>Introduction malware / copie données</t>
  </si>
  <si>
    <t>Désactivation ports / durcissement BIOS / contrôle physique</t>
  </si>
  <si>
    <t>Alertes connexion périphériques / EDR</t>
  </si>
  <si>
    <t>Compromission du SI</t>
  </si>
  <si>
    <t>Patching / EDR / sandbox / durcissement</t>
  </si>
  <si>
    <t>EDR comportemental / alertes exploitation</t>
  </si>
  <si>
    <t>Compromission des postes utilisateurs</t>
  </si>
  <si>
    <t>Hardening / EDR / patching</t>
  </si>
  <si>
    <t>LAPS / RBAC / durcissement</t>
  </si>
  <si>
    <t>Alertes élévation privilèges</t>
  </si>
  <si>
    <t>Exploitation de vulnérabilités</t>
  </si>
  <si>
    <t>Vol direct de données</t>
  </si>
  <si>
    <t>Chiffrement / BIOS lock / TPM</t>
  </si>
  <si>
    <t>Alertes BIOS / logs démarrage</t>
  </si>
  <si>
    <t>Mouvement latéral facilité</t>
  </si>
  <si>
    <t>Segmentation / firewall interne</t>
  </si>
  <si>
    <t>Logs firewall</t>
  </si>
  <si>
    <t>Introduction de logiciels malveillants / vulnérables</t>
  </si>
  <si>
    <t>durcissement / Gouvernance / politique sur les applications</t>
  </si>
  <si>
    <t>Alertes installation / EDR</t>
  </si>
  <si>
    <t>Exposition aux attaques web</t>
  </si>
  <si>
    <t>Hardening / patching / extensions contrôlées</t>
  </si>
  <si>
    <t>Scan configuration / EDR</t>
  </si>
  <si>
    <t>Propagation d’une infection</t>
  </si>
  <si>
    <t>EDR / Antivirus</t>
  </si>
  <si>
    <t>Perte matériel + fuite données</t>
  </si>
  <si>
    <t xml:space="preserve">Accès aux locaux par badge / Alarme </t>
  </si>
  <si>
    <t>Significatif</t>
  </si>
  <si>
    <t>Alarme / caméras</t>
  </si>
  <si>
    <t>Arrêt brutal des services</t>
  </si>
  <si>
    <t>Destruction infrastructures</t>
  </si>
  <si>
    <t>Exctincteur / Alarme</t>
  </si>
  <si>
    <t>Détecteur de fumée</t>
  </si>
  <si>
    <t>Perte matériel essentiel</t>
  </si>
  <si>
    <t>Arrivées d'eau protégéé et loin des outils critiques</t>
  </si>
  <si>
    <t>Capteurs fuite / alertes environnement</t>
  </si>
  <si>
    <t>Interruption totale services</t>
  </si>
  <si>
    <t>Deuxième ligne de fibre / Antenne 5G</t>
  </si>
  <si>
    <t>Contournement des protections système</t>
  </si>
  <si>
    <t>BIOS lock / désactivation recovery / chiffrement</t>
  </si>
  <si>
    <t>Tableau d'évaluation des risques</t>
  </si>
  <si>
    <t>Tableau d'évaluation des risques en prenant en compte les mesures de sécurité</t>
  </si>
  <si>
    <t>Capacité de détection des risques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</si>
</sst>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3">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
      <b/>
      <sz val="11"/>
      <color theme="0"/>
      <name val="Calibri"/>
      <family val="2"/>
      <scheme val="minor"/>
    </font>
    <font>
      <b/>
      <sz val="11"/>
      <color rgb="FFFFFFFF"/>
      <name val="Calibri"/>
      <family val="2"/>
      <scheme val="minor"/>
    </font>
    <font>
      <sz val="11"/>
      <color theme="1"/>
      <name val="Calibri"/>
      <family val="2"/>
      <scheme val="minor"/>
    </font>
    <font>
      <b/>
      <sz val="18"/>
      <color theme="1"/>
      <name val="Calibri"/>
      <family val="2"/>
      <scheme val="minor"/>
    </font>
    <font>
      <sz val="11"/>
      <color rgb="FF000000"/>
      <name val="Avenir Next"/>
      <family val="2"/>
    </font>
    <font>
      <sz val="11"/>
      <color rgb="FF000000"/>
      <name val="Calibri"/>
      <family val="2"/>
    </font>
    <font>
      <b/>
      <sz val="11"/>
      <color rgb="FF000000"/>
      <name val="Calibri"/>
      <family val="2"/>
    </font>
    <font>
      <sz val="11"/>
      <color rgb="FF000000"/>
      <name val="Aptos Narrow"/>
    </font>
    <font>
      <sz val="11"/>
      <name val="Calibri"/>
      <family val="2"/>
    </font>
    <font>
      <sz val="11"/>
      <color rgb="FF242424"/>
      <name val="Aptos Narrow"/>
    </font>
    <font>
      <b/>
      <sz val="11"/>
      <color rgb="FFFFFFFF"/>
      <name val="Calibri"/>
      <family val="2"/>
    </font>
    <font>
      <b/>
      <sz val="11"/>
      <color rgb="FF000000"/>
      <name val="Aptos Narrow"/>
    </font>
    <font>
      <sz val="11"/>
      <color rgb="FF000000"/>
      <name val="Calibri"/>
      <charset val="1"/>
    </font>
    <font>
      <sz val="11"/>
      <color rgb="FF000000"/>
      <name val="Calibri"/>
    </font>
    <font>
      <sz val="11"/>
      <name val="Calibri"/>
    </font>
    <font>
      <b/>
      <sz val="11"/>
      <color rgb="FF000000"/>
      <name val="Calibri"/>
    </font>
    <font>
      <u/>
      <sz val="11"/>
      <color theme="10"/>
      <name val="Calibri"/>
      <family val="2"/>
      <scheme val="minor"/>
    </font>
    <font>
      <sz val="11"/>
      <color rgb="FF242424"/>
      <name val="Aptos Narrow"/>
      <charset val="1"/>
    </font>
  </fonts>
  <fills count="28">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FCE4D6"/>
        <bgColor rgb="FF000000"/>
      </patternFill>
    </fill>
    <fill>
      <patternFill patternType="solid">
        <fgColor theme="1"/>
        <bgColor indexed="64"/>
      </patternFill>
    </fill>
    <fill>
      <patternFill patternType="solid">
        <fgColor theme="1"/>
        <bgColor theme="1"/>
      </patternFill>
    </fill>
    <fill>
      <patternFill patternType="solid">
        <fgColor theme="3"/>
        <bgColor rgb="FFFFFFFF"/>
      </patternFill>
    </fill>
    <fill>
      <patternFill patternType="solid">
        <fgColor theme="1"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2D050"/>
        <bgColor rgb="FF000000"/>
      </patternFill>
    </fill>
    <fill>
      <patternFill patternType="solid">
        <fgColor rgb="FFFFC000"/>
        <bgColor rgb="FF000000"/>
      </patternFill>
    </fill>
    <fill>
      <patternFill patternType="solid">
        <fgColor rgb="FFFF0000"/>
        <bgColor rgb="FF000000"/>
      </patternFill>
    </fill>
    <fill>
      <patternFill patternType="solid">
        <fgColor rgb="FFE2EFDA"/>
        <bgColor rgb="FF000000"/>
      </patternFill>
    </fill>
    <fill>
      <patternFill patternType="solid">
        <fgColor rgb="FFD9E1F2"/>
        <bgColor rgb="FF000000"/>
      </patternFill>
    </fill>
    <fill>
      <patternFill patternType="solid">
        <fgColor rgb="FF000000"/>
        <bgColor rgb="FF000000"/>
      </patternFill>
    </fill>
    <fill>
      <patternFill patternType="solid">
        <fgColor rgb="FFD6DCE4"/>
        <bgColor rgb="FF000000"/>
      </patternFill>
    </fill>
    <fill>
      <patternFill patternType="solid">
        <fgColor theme="0"/>
        <bgColor indexed="64"/>
      </patternFill>
    </fill>
    <fill>
      <patternFill patternType="solid">
        <fgColor theme="7"/>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00B050"/>
        <bgColor rgb="FF000000"/>
      </patternFill>
    </fill>
    <fill>
      <patternFill patternType="solid">
        <fgColor theme="2"/>
        <bgColor indexed="64"/>
      </patternFill>
    </fill>
    <fill>
      <patternFill patternType="solid">
        <fgColor theme="2" tint="-9.9978637043366805E-2"/>
        <bgColor indexed="64"/>
      </patternFill>
    </fill>
  </fills>
  <borders count="12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style="medium">
        <color rgb="FF000000"/>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thin">
        <color indexed="64"/>
      </right>
      <top/>
      <bottom style="thin">
        <color rgb="FF000000"/>
      </bottom>
      <diagonal/>
    </border>
    <border>
      <left/>
      <right style="thin">
        <color indexed="64"/>
      </right>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medium">
        <color rgb="FF000000"/>
      </left>
      <right style="thin">
        <color indexed="64"/>
      </right>
      <top style="medium">
        <color rgb="FF000000"/>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top style="thin">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right style="thin">
        <color indexed="64"/>
      </right>
      <top style="medium">
        <color rgb="FF000000"/>
      </top>
      <bottom style="thin">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indexed="64"/>
      </left>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medium">
        <color rgb="FF000000"/>
      </right>
      <top/>
      <bottom style="medium">
        <color rgb="FF000000"/>
      </bottom>
      <diagonal/>
    </border>
    <border>
      <left style="medium">
        <color indexed="64"/>
      </left>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thin">
        <color rgb="FF000000"/>
      </left>
      <right/>
      <top style="thin">
        <color rgb="FF000000"/>
      </top>
      <bottom/>
      <diagonal/>
    </border>
    <border>
      <left/>
      <right style="thin">
        <color indexed="64"/>
      </right>
      <top style="medium">
        <color rgb="FF000000"/>
      </top>
      <bottom/>
      <diagonal/>
    </border>
    <border>
      <left/>
      <right style="thin">
        <color indexed="64"/>
      </right>
      <top style="medium">
        <color indexed="64"/>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right/>
      <top/>
      <bottom style="medium">
        <color rgb="FF000000"/>
      </bottom>
      <diagonal/>
    </border>
    <border>
      <left style="medium">
        <color indexed="64"/>
      </left>
      <right/>
      <top/>
      <bottom style="medium">
        <color indexed="64"/>
      </bottom>
      <diagonal/>
    </border>
    <border>
      <left style="medium">
        <color rgb="FF000000"/>
      </left>
      <right style="medium">
        <color indexed="64"/>
      </right>
      <top/>
      <bottom style="medium">
        <color rgb="FF000000"/>
      </bottom>
      <diagonal/>
    </border>
    <border>
      <left style="medium">
        <color indexed="64"/>
      </left>
      <right style="medium">
        <color rgb="FF000000"/>
      </right>
      <top/>
      <bottom style="medium">
        <color rgb="FF000000"/>
      </bottom>
      <diagonal/>
    </border>
    <border>
      <left style="thin">
        <color rgb="FF000000"/>
      </left>
      <right/>
      <top/>
      <bottom style="thin">
        <color rgb="FF000000"/>
      </bottom>
      <diagonal/>
    </border>
    <border>
      <left style="medium">
        <color rgb="FF000000"/>
      </left>
      <right style="medium">
        <color indexed="64"/>
      </right>
      <top style="medium">
        <color rgb="FF000000"/>
      </top>
      <bottom/>
      <diagonal/>
    </border>
    <border>
      <left style="medium">
        <color indexed="64"/>
      </left>
      <right/>
      <top style="medium">
        <color rgb="FF000000"/>
      </top>
      <bottom/>
      <diagonal/>
    </border>
    <border>
      <left style="medium">
        <color rgb="FF000000"/>
      </left>
      <right style="medium">
        <color indexed="64"/>
      </right>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indexed="64"/>
      </right>
      <top style="medium">
        <color indexed="64"/>
      </top>
      <bottom/>
      <diagonal/>
    </border>
    <border>
      <left style="medium">
        <color rgb="FF000000"/>
      </left>
      <right/>
      <top style="medium">
        <color indexed="64"/>
      </top>
      <bottom/>
      <diagonal/>
    </border>
    <border>
      <left style="medium">
        <color rgb="FF000000"/>
      </left>
      <right style="medium">
        <color rgb="FF000000"/>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0" fontId="21" fillId="0" borderId="0" applyNumberFormat="0" applyFill="0" applyBorder="0" applyAlignment="0" applyProtection="0"/>
  </cellStyleXfs>
  <cellXfs count="433">
    <xf numFmtId="0" fontId="0" fillId="0" borderId="0" xfId="0"/>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0" fillId="3" borderId="8" xfId="0" applyFill="1" applyBorder="1" applyAlignment="1">
      <alignment horizontal="center" vertical="center"/>
    </xf>
    <xf numFmtId="0" fontId="0" fillId="4" borderId="8" xfId="0" applyFill="1" applyBorder="1" applyAlignment="1">
      <alignment horizontal="center" vertical="center"/>
    </xf>
    <xf numFmtId="0" fontId="0" fillId="5" borderId="8" xfId="0" applyFill="1" applyBorder="1" applyAlignment="1">
      <alignment horizontal="center" vertical="center"/>
    </xf>
    <xf numFmtId="0" fontId="0" fillId="0" borderId="0" xfId="0" applyAlignment="1">
      <alignment horizontal="center" vertical="center" textRotation="90"/>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2" borderId="13"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0" fillId="2" borderId="14" xfId="0" applyFill="1" applyBorder="1" applyAlignment="1">
      <alignment horizontal="left" vertical="center" wrapText="1"/>
    </xf>
    <xf numFmtId="0" fontId="0" fillId="0" borderId="12" xfId="0" applyBorder="1" applyAlignment="1">
      <alignment horizontal="left" vertical="center" wrapText="1"/>
    </xf>
    <xf numFmtId="0" fontId="0" fillId="0" borderId="16" xfId="0" applyBorder="1" applyAlignment="1">
      <alignment horizontal="left" vertical="center" wrapText="1"/>
    </xf>
    <xf numFmtId="0" fontId="5" fillId="7" borderId="8" xfId="0" applyFont="1" applyFill="1" applyBorder="1" applyAlignment="1">
      <alignment horizontal="center" vertical="center" wrapText="1"/>
    </xf>
    <xf numFmtId="0" fontId="0" fillId="0" borderId="0" xfId="0" quotePrefix="1" applyAlignment="1">
      <alignment wrapText="1"/>
    </xf>
    <xf numFmtId="0" fontId="0" fillId="12" borderId="8" xfId="0" applyFill="1"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horizontal="center" vertical="center" wrapText="1"/>
    </xf>
    <xf numFmtId="0" fontId="4" fillId="0" borderId="11" xfId="0" applyFont="1" applyBorder="1" applyAlignment="1">
      <alignment horizontal="center" vertical="center"/>
    </xf>
    <xf numFmtId="0" fontId="4" fillId="13"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4" fillId="15" borderId="13" xfId="0" applyFont="1" applyFill="1" applyBorder="1" applyAlignment="1">
      <alignment horizontal="center" vertical="center" wrapText="1"/>
    </xf>
    <xf numFmtId="0" fontId="4" fillId="0" borderId="8" xfId="0" applyFont="1" applyBorder="1" applyAlignment="1">
      <alignment horizontal="center" vertical="center"/>
    </xf>
    <xf numFmtId="0" fontId="4" fillId="0" borderId="0" xfId="0" applyFont="1" applyAlignment="1">
      <alignment horizontal="center" vertical="center"/>
    </xf>
    <xf numFmtId="44" fontId="0" fillId="0" borderId="1" xfId="1" applyFont="1" applyBorder="1" applyAlignment="1">
      <alignment horizontal="center"/>
    </xf>
    <xf numFmtId="44" fontId="4" fillId="0" borderId="10" xfId="1" applyFont="1" applyBorder="1" applyAlignment="1">
      <alignment horizontal="center" vertical="center" wrapText="1"/>
    </xf>
    <xf numFmtId="44" fontId="4" fillId="0" borderId="8" xfId="1" applyFont="1" applyBorder="1" applyAlignment="1">
      <alignment horizontal="center" vertical="center"/>
    </xf>
    <xf numFmtId="44" fontId="4" fillId="0" borderId="10" xfId="1" applyFont="1" applyBorder="1" applyAlignment="1">
      <alignment horizontal="center" vertical="center"/>
    </xf>
    <xf numFmtId="44" fontId="0" fillId="0" borderId="16" xfId="1" applyFont="1" applyBorder="1" applyAlignment="1">
      <alignment horizontal="center"/>
    </xf>
    <xf numFmtId="44" fontId="0" fillId="0" borderId="0" xfId="1" applyFont="1"/>
    <xf numFmtId="0" fontId="0" fillId="0" borderId="8" xfId="0" applyBorder="1"/>
    <xf numFmtId="0" fontId="1" fillId="0" borderId="0" xfId="0" applyFont="1" applyAlignment="1">
      <alignment horizontal="left" vertical="center"/>
    </xf>
    <xf numFmtId="0" fontId="1" fillId="0" borderId="0" xfId="0" applyFont="1" applyAlignment="1">
      <alignment horizontal="center" vertical="center"/>
    </xf>
    <xf numFmtId="0" fontId="8" fillId="0" borderId="0" xfId="0" applyFont="1"/>
    <xf numFmtId="0" fontId="3" fillId="11" borderId="12" xfId="0" applyFont="1" applyFill="1" applyBorder="1" applyAlignment="1">
      <alignment horizontal="center" vertical="center"/>
    </xf>
    <xf numFmtId="0" fontId="0" fillId="0" borderId="9" xfId="0" applyBorder="1" applyAlignment="1">
      <alignment horizontal="center" wrapText="1"/>
    </xf>
    <xf numFmtId="0" fontId="6" fillId="9" borderId="8" xfId="0" applyFont="1" applyFill="1" applyBorder="1" applyAlignment="1">
      <alignment horizontal="center" vertical="center" wrapText="1"/>
    </xf>
    <xf numFmtId="0" fontId="0" fillId="0" borderId="0" xfId="0" applyAlignment="1">
      <alignment vertical="center"/>
    </xf>
    <xf numFmtId="0" fontId="11" fillId="0" borderId="5" xfId="0" applyFont="1" applyBorder="1"/>
    <xf numFmtId="0" fontId="11" fillId="0" borderId="0" xfId="0" applyFont="1" applyAlignment="1">
      <alignment wrapText="1"/>
    </xf>
    <xf numFmtId="0" fontId="11" fillId="0" borderId="0" xfId="0" applyFont="1"/>
    <xf numFmtId="0" fontId="10" fillId="0" borderId="0" xfId="0" applyFont="1"/>
    <xf numFmtId="0" fontId="10" fillId="0" borderId="0" xfId="0" applyFont="1" applyAlignment="1">
      <alignment wrapText="1"/>
    </xf>
    <xf numFmtId="0" fontId="12" fillId="0" borderId="0" xfId="0" applyFont="1" applyAlignment="1">
      <alignment wrapText="1"/>
    </xf>
    <xf numFmtId="0" fontId="11" fillId="0" borderId="24" xfId="0" applyFont="1" applyBorder="1" applyAlignment="1">
      <alignment horizontal="center" vertical="center"/>
    </xf>
    <xf numFmtId="0" fontId="11" fillId="0" borderId="24" xfId="0" applyFont="1" applyBorder="1" applyAlignment="1">
      <alignment horizontal="center" vertical="center" wrapText="1"/>
    </xf>
    <xf numFmtId="0" fontId="10" fillId="0" borderId="24" xfId="0" applyFont="1" applyBorder="1" applyAlignment="1">
      <alignment horizontal="center" vertical="center"/>
    </xf>
    <xf numFmtId="0" fontId="0" fillId="0" borderId="24" xfId="0" applyBorder="1"/>
    <xf numFmtId="0" fontId="10" fillId="17" borderId="2" xfId="0" applyFont="1" applyFill="1" applyBorder="1"/>
    <xf numFmtId="0" fontId="10" fillId="17" borderId="23" xfId="0" applyFont="1" applyFill="1" applyBorder="1"/>
    <xf numFmtId="0" fontId="10" fillId="0" borderId="5" xfId="0" applyFont="1" applyBorder="1"/>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59" xfId="0" applyFont="1" applyBorder="1"/>
    <xf numFmtId="49" fontId="0" fillId="0" borderId="38" xfId="0" applyNumberFormat="1" applyBorder="1" applyAlignment="1">
      <alignment horizontal="center" vertical="center" wrapText="1"/>
    </xf>
    <xf numFmtId="49" fontId="0" fillId="0" borderId="0" xfId="0" applyNumberFormat="1"/>
    <xf numFmtId="49" fontId="0" fillId="0" borderId="0" xfId="0" applyNumberFormat="1" applyAlignment="1">
      <alignment horizontal="left" wrapText="1"/>
    </xf>
    <xf numFmtId="49" fontId="0" fillId="0" borderId="0" xfId="0" applyNumberFormat="1" applyAlignment="1">
      <alignment horizontal="center"/>
    </xf>
    <xf numFmtId="49" fontId="0" fillId="0" borderId="0" xfId="0" applyNumberFormat="1" applyAlignment="1">
      <alignment horizontal="left"/>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0" fillId="0" borderId="0" xfId="0" applyNumberFormat="1" applyAlignment="1">
      <alignment horizontal="center" vertical="center"/>
    </xf>
    <xf numFmtId="49" fontId="5" fillId="8" borderId="49" xfId="0" applyNumberFormat="1" applyFont="1" applyFill="1" applyBorder="1" applyAlignment="1">
      <alignment horizontal="center" vertical="center" wrapText="1"/>
    </xf>
    <xf numFmtId="49" fontId="5" fillId="8" borderId="50" xfId="0" applyNumberFormat="1" applyFont="1" applyFill="1" applyBorder="1" applyAlignment="1">
      <alignment horizontal="center" vertical="center" wrapText="1"/>
    </xf>
    <xf numFmtId="49" fontId="1" fillId="0" borderId="51" xfId="0" applyNumberFormat="1" applyFont="1" applyBorder="1" applyAlignment="1">
      <alignment horizontal="center" vertical="center" wrapText="1"/>
    </xf>
    <xf numFmtId="49" fontId="1" fillId="0" borderId="52" xfId="0" applyNumberFormat="1" applyFont="1" applyBorder="1" applyAlignment="1">
      <alignment horizontal="center" vertical="center" wrapText="1"/>
    </xf>
    <xf numFmtId="49" fontId="0" fillId="0" borderId="45" xfId="0" applyNumberFormat="1" applyBorder="1" applyAlignment="1">
      <alignment horizontal="center" vertical="center" wrapText="1"/>
    </xf>
    <xf numFmtId="49" fontId="0" fillId="0" borderId="40" xfId="0" applyNumberFormat="1" applyBorder="1" applyAlignment="1">
      <alignment horizontal="left" vertical="center" wrapText="1"/>
    </xf>
    <xf numFmtId="49" fontId="0" fillId="0" borderId="40" xfId="0" applyNumberFormat="1" applyBorder="1" applyAlignment="1">
      <alignment horizontal="center" vertical="center" wrapText="1"/>
    </xf>
    <xf numFmtId="49" fontId="0" fillId="0" borderId="40" xfId="0" quotePrefix="1" applyNumberFormat="1" applyBorder="1" applyAlignment="1">
      <alignment horizontal="center" vertical="center" wrapText="1"/>
    </xf>
    <xf numFmtId="49" fontId="0" fillId="0" borderId="41" xfId="0" applyNumberFormat="1" applyBorder="1" applyAlignment="1">
      <alignment horizontal="center" vertical="center" wrapText="1"/>
    </xf>
    <xf numFmtId="49" fontId="0" fillId="0" borderId="39" xfId="0" applyNumberFormat="1" applyBorder="1" applyAlignment="1">
      <alignment horizontal="center" vertical="center" wrapText="1"/>
    </xf>
    <xf numFmtId="49" fontId="0" fillId="0" borderId="24" xfId="0" applyNumberFormat="1" applyBorder="1" applyAlignment="1">
      <alignment horizontal="center" vertical="center" wrapText="1"/>
    </xf>
    <xf numFmtId="49" fontId="0" fillId="0" borderId="24" xfId="0" quotePrefix="1" applyNumberFormat="1" applyBorder="1" applyAlignment="1">
      <alignment horizontal="center" vertical="center" wrapText="1"/>
    </xf>
    <xf numFmtId="49" fontId="0" fillId="0" borderId="42" xfId="0" applyNumberFormat="1" applyBorder="1" applyAlignment="1">
      <alignment horizontal="center" vertical="center" wrapText="1"/>
    </xf>
    <xf numFmtId="49" fontId="0" fillId="0" borderId="37" xfId="0" quotePrefix="1" applyNumberFormat="1" applyBorder="1" applyAlignment="1">
      <alignment horizontal="center" vertical="center" wrapText="1"/>
    </xf>
    <xf numFmtId="49" fontId="0" fillId="0" borderId="36" xfId="0" applyNumberFormat="1" applyBorder="1" applyAlignment="1">
      <alignment horizontal="center" vertical="center" wrapText="1"/>
    </xf>
    <xf numFmtId="49" fontId="0" fillId="0" borderId="36" xfId="0" quotePrefix="1" applyNumberFormat="1" applyBorder="1" applyAlignment="1">
      <alignment horizontal="center" vertical="center" wrapText="1"/>
    </xf>
    <xf numFmtId="49" fontId="0" fillId="0" borderId="43" xfId="0" applyNumberFormat="1" applyBorder="1" applyAlignment="1">
      <alignment horizontal="center" vertical="center" wrapText="1"/>
    </xf>
    <xf numFmtId="49" fontId="0" fillId="0" borderId="0" xfId="0" applyNumberFormat="1" applyAlignment="1">
      <alignment vertical="center"/>
    </xf>
    <xf numFmtId="49" fontId="0" fillId="0" borderId="37" xfId="0" applyNumberFormat="1"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49" xfId="0" applyFont="1" applyBorder="1" applyAlignment="1">
      <alignment textRotation="90"/>
    </xf>
    <xf numFmtId="0" fontId="10" fillId="0" borderId="55" xfId="0" applyFont="1" applyBorder="1" applyAlignment="1">
      <alignment horizontal="center" vertical="center" textRotation="90"/>
    </xf>
    <xf numFmtId="0" fontId="0" fillId="0" borderId="55" xfId="0" applyBorder="1" applyAlignment="1">
      <alignment textRotation="90"/>
    </xf>
    <xf numFmtId="0" fontId="10" fillId="0" borderId="15" xfId="0" applyFont="1" applyBorder="1" applyAlignment="1">
      <alignment horizontal="center" vertical="center" wrapText="1"/>
    </xf>
    <xf numFmtId="0" fontId="10" fillId="0" borderId="63"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66" xfId="0" applyFont="1" applyBorder="1" applyAlignment="1">
      <alignment horizontal="center" vertical="center" wrapText="1"/>
    </xf>
    <xf numFmtId="0" fontId="10" fillId="0" borderId="67" xfId="0" applyFont="1" applyBorder="1" applyAlignment="1">
      <alignment horizontal="center" vertical="center" wrapText="1"/>
    </xf>
    <xf numFmtId="0" fontId="10" fillId="0" borderId="69" xfId="0" applyFont="1" applyBorder="1" applyAlignment="1">
      <alignment horizontal="center" vertical="center" wrapText="1"/>
    </xf>
    <xf numFmtId="0" fontId="10" fillId="0" borderId="70" xfId="0" applyFont="1" applyBorder="1" applyAlignment="1">
      <alignment horizontal="center" vertical="center" wrapText="1"/>
    </xf>
    <xf numFmtId="0" fontId="10" fillId="0" borderId="71" xfId="0" applyFont="1" applyBorder="1" applyAlignment="1">
      <alignment horizontal="center" vertical="center" wrapText="1"/>
    </xf>
    <xf numFmtId="0" fontId="0" fillId="10" borderId="8" xfId="0" applyFill="1" applyBorder="1" applyAlignment="1">
      <alignment horizontal="left" vertical="center" wrapText="1"/>
    </xf>
    <xf numFmtId="0" fontId="3" fillId="11" borderId="12" xfId="0" applyFont="1" applyFill="1" applyBorder="1" applyAlignment="1">
      <alignment horizontal="left" vertical="center" wrapText="1"/>
    </xf>
    <xf numFmtId="0" fontId="10" fillId="0" borderId="13" xfId="0" applyFont="1" applyBorder="1" applyAlignment="1">
      <alignment wrapText="1"/>
    </xf>
    <xf numFmtId="0" fontId="10" fillId="0" borderId="68" xfId="0" applyFont="1" applyBorder="1" applyAlignment="1">
      <alignment wrapText="1"/>
    </xf>
    <xf numFmtId="0" fontId="10" fillId="0" borderId="73" xfId="0" applyFont="1" applyBorder="1" applyAlignment="1">
      <alignment wrapText="1"/>
    </xf>
    <xf numFmtId="0" fontId="10" fillId="0" borderId="66" xfId="0" applyFont="1" applyBorder="1" applyAlignment="1">
      <alignment wrapText="1"/>
    </xf>
    <xf numFmtId="0" fontId="10" fillId="0" borderId="74" xfId="0" applyFont="1" applyBorder="1" applyAlignment="1">
      <alignment wrapText="1"/>
    </xf>
    <xf numFmtId="0" fontId="10" fillId="0" borderId="78" xfId="0" applyFont="1" applyBorder="1" applyAlignment="1">
      <alignment wrapText="1"/>
    </xf>
    <xf numFmtId="0" fontId="10" fillId="0" borderId="79" xfId="0" applyFont="1" applyBorder="1" applyAlignment="1">
      <alignment wrapText="1"/>
    </xf>
    <xf numFmtId="0" fontId="0" fillId="0" borderId="79" xfId="0" applyBorder="1"/>
    <xf numFmtId="0" fontId="10" fillId="0" borderId="21" xfId="0" applyFont="1" applyBorder="1"/>
    <xf numFmtId="0" fontId="10" fillId="20" borderId="0" xfId="0" applyFont="1" applyFill="1"/>
    <xf numFmtId="0" fontId="10" fillId="0" borderId="76" xfId="0" applyFont="1" applyBorder="1"/>
    <xf numFmtId="0" fontId="10" fillId="0" borderId="41" xfId="0" applyFont="1" applyBorder="1"/>
    <xf numFmtId="0" fontId="10" fillId="0" borderId="43" xfId="0" applyFont="1" applyBorder="1"/>
    <xf numFmtId="0" fontId="10" fillId="0" borderId="82" xfId="0" applyFont="1" applyBorder="1"/>
    <xf numFmtId="0" fontId="10" fillId="0" borderId="83" xfId="0" applyFont="1" applyBorder="1"/>
    <xf numFmtId="0" fontId="10" fillId="0" borderId="84" xfId="0" applyFont="1" applyBorder="1"/>
    <xf numFmtId="0" fontId="10" fillId="0" borderId="42" xfId="0" applyFont="1" applyBorder="1"/>
    <xf numFmtId="0" fontId="0" fillId="0" borderId="42" xfId="0" applyBorder="1"/>
    <xf numFmtId="0" fontId="10" fillId="16" borderId="4" xfId="0" applyFont="1" applyFill="1" applyBorder="1"/>
    <xf numFmtId="0" fontId="10" fillId="16" borderId="18" xfId="0" applyFont="1" applyFill="1" applyBorder="1"/>
    <xf numFmtId="0" fontId="10" fillId="16" borderId="49" xfId="0" applyFont="1" applyFill="1" applyBorder="1"/>
    <xf numFmtId="0" fontId="10" fillId="0" borderId="39" xfId="0" applyFont="1" applyBorder="1" applyAlignment="1">
      <alignment horizontal="left" vertical="center"/>
    </xf>
    <xf numFmtId="0" fontId="10" fillId="0" borderId="39" xfId="0" applyFont="1" applyBorder="1"/>
    <xf numFmtId="0" fontId="0" fillId="0" borderId="60" xfId="0" applyBorder="1"/>
    <xf numFmtId="0" fontId="13" fillId="0" borderId="39" xfId="0" applyFont="1" applyBorder="1" applyAlignment="1">
      <alignment horizontal="left" vertical="center"/>
    </xf>
    <xf numFmtId="0" fontId="9" fillId="0" borderId="39" xfId="0" applyFont="1" applyBorder="1"/>
    <xf numFmtId="0" fontId="11" fillId="0" borderId="87" xfId="0" applyFont="1" applyBorder="1" applyAlignment="1">
      <alignment horizontal="center" vertical="center"/>
    </xf>
    <xf numFmtId="0" fontId="11" fillId="0" borderId="39" xfId="0" applyFont="1" applyBorder="1" applyAlignment="1">
      <alignment horizontal="center" vertical="center"/>
    </xf>
    <xf numFmtId="0" fontId="10" fillId="0" borderId="73" xfId="0" applyFont="1" applyBorder="1"/>
    <xf numFmtId="0" fontId="18" fillId="0" borderId="74" xfId="0" applyFont="1" applyBorder="1"/>
    <xf numFmtId="0" fontId="10" fillId="0" borderId="74" xfId="0" applyFont="1" applyBorder="1"/>
    <xf numFmtId="0" fontId="10" fillId="6" borderId="89" xfId="0" applyFont="1" applyFill="1" applyBorder="1"/>
    <xf numFmtId="0" fontId="10" fillId="6" borderId="23" xfId="0" applyFont="1" applyFill="1" applyBorder="1"/>
    <xf numFmtId="0" fontId="16" fillId="0" borderId="25" xfId="0" applyFont="1" applyBorder="1" applyAlignment="1">
      <alignment wrapText="1"/>
    </xf>
    <xf numFmtId="0" fontId="0" fillId="0" borderId="56" xfId="0" applyBorder="1"/>
    <xf numFmtId="0" fontId="0" fillId="0" borderId="27" xfId="0" applyBorder="1"/>
    <xf numFmtId="0" fontId="12" fillId="0" borderId="56" xfId="0" applyFont="1" applyBorder="1" applyAlignment="1">
      <alignment wrapText="1"/>
    </xf>
    <xf numFmtId="0" fontId="12" fillId="0" borderId="27" xfId="0" applyFont="1" applyBorder="1" applyAlignment="1">
      <alignment wrapText="1"/>
    </xf>
    <xf numFmtId="0" fontId="12" fillId="0" borderId="44" xfId="0" applyFont="1" applyBorder="1" applyAlignment="1">
      <alignment wrapText="1"/>
    </xf>
    <xf numFmtId="0" fontId="11" fillId="0" borderId="29" xfId="0" applyFont="1" applyBorder="1" applyAlignment="1">
      <alignment horizontal="center" wrapText="1"/>
    </xf>
    <xf numFmtId="0" fontId="0" fillId="0" borderId="90" xfId="0" applyBorder="1"/>
    <xf numFmtId="0" fontId="0" fillId="0" borderId="91" xfId="0" applyBorder="1"/>
    <xf numFmtId="0" fontId="10" fillId="0" borderId="90" xfId="0" applyFont="1" applyBorder="1" applyAlignment="1">
      <alignment wrapText="1"/>
    </xf>
    <xf numFmtId="0" fontId="10" fillId="0" borderId="91" xfId="0" applyFont="1" applyBorder="1" applyAlignment="1">
      <alignment wrapText="1"/>
    </xf>
    <xf numFmtId="0" fontId="10" fillId="0" borderId="65" xfId="0" applyFont="1" applyBorder="1" applyAlignment="1">
      <alignment wrapText="1"/>
    </xf>
    <xf numFmtId="0" fontId="16" fillId="0" borderId="35" xfId="0" applyFont="1" applyBorder="1" applyAlignment="1">
      <alignment wrapText="1"/>
    </xf>
    <xf numFmtId="0" fontId="0" fillId="0" borderId="92" xfId="0" applyBorder="1"/>
    <xf numFmtId="0" fontId="0" fillId="0" borderId="93" xfId="0" applyBorder="1"/>
    <xf numFmtId="0" fontId="12" fillId="0" borderId="92" xfId="0" applyFont="1" applyBorder="1" applyAlignment="1">
      <alignment wrapText="1"/>
    </xf>
    <xf numFmtId="0" fontId="12" fillId="0" borderId="93" xfId="0" applyFont="1" applyBorder="1" applyAlignment="1">
      <alignment wrapText="1"/>
    </xf>
    <xf numFmtId="0" fontId="12" fillId="0" borderId="94" xfId="0" applyFont="1" applyBorder="1" applyAlignment="1">
      <alignment wrapText="1"/>
    </xf>
    <xf numFmtId="0" fontId="16" fillId="0" borderId="33" xfId="0" applyFont="1" applyBorder="1" applyAlignment="1">
      <alignment wrapText="1"/>
    </xf>
    <xf numFmtId="0" fontId="0" fillId="0" borderId="57" xfId="0" applyBorder="1"/>
    <xf numFmtId="0" fontId="0" fillId="0" borderId="58" xfId="0" applyBorder="1"/>
    <xf numFmtId="0" fontId="12" fillId="0" borderId="57" xfId="0" applyFont="1" applyBorder="1" applyAlignment="1">
      <alignment wrapText="1"/>
    </xf>
    <xf numFmtId="0" fontId="12" fillId="0" borderId="58" xfId="0" applyFont="1" applyBorder="1" applyAlignment="1">
      <alignment wrapText="1"/>
    </xf>
    <xf numFmtId="0" fontId="12" fillId="0" borderId="81" xfId="0" applyFont="1" applyBorder="1" applyAlignment="1">
      <alignment wrapText="1"/>
    </xf>
    <xf numFmtId="0" fontId="18" fillId="0" borderId="0" xfId="0" applyFont="1" applyAlignment="1">
      <alignment wrapText="1"/>
    </xf>
    <xf numFmtId="0" fontId="10" fillId="0" borderId="96" xfId="0" applyFont="1" applyBorder="1" applyAlignment="1">
      <alignment vertical="center"/>
    </xf>
    <xf numFmtId="0" fontId="10" fillId="0" borderId="17" xfId="0" applyFont="1" applyBorder="1" applyAlignment="1">
      <alignment vertical="center"/>
    </xf>
    <xf numFmtId="0" fontId="10" fillId="0" borderId="95" xfId="0" applyFont="1" applyBorder="1" applyAlignment="1">
      <alignment vertical="center"/>
    </xf>
    <xf numFmtId="0" fontId="10" fillId="0" borderId="80" xfId="0" applyFont="1" applyBorder="1" applyAlignment="1">
      <alignment vertical="center"/>
    </xf>
    <xf numFmtId="49" fontId="0" fillId="0" borderId="79" xfId="0" applyNumberFormat="1" applyBorder="1" applyAlignment="1">
      <alignment horizontal="center" vertical="center" wrapText="1"/>
    </xf>
    <xf numFmtId="49" fontId="0" fillId="0" borderId="80" xfId="0" applyNumberFormat="1" applyBorder="1" applyAlignment="1">
      <alignment horizontal="center" vertical="center" wrapText="1"/>
    </xf>
    <xf numFmtId="49" fontId="0" fillId="0" borderId="36" xfId="0" applyNumberFormat="1" applyBorder="1" applyAlignment="1">
      <alignment horizontal="left" vertical="center" wrapText="1"/>
    </xf>
    <xf numFmtId="49" fontId="18" fillId="0" borderId="53" xfId="0" applyNumberFormat="1" applyFont="1" applyBorder="1" applyAlignment="1">
      <alignment horizontal="center" vertical="center"/>
    </xf>
    <xf numFmtId="49" fontId="0" fillId="0" borderId="78" xfId="0" applyNumberFormat="1" applyBorder="1" applyAlignment="1">
      <alignment horizontal="center" vertical="center" wrapText="1"/>
    </xf>
    <xf numFmtId="49" fontId="0" fillId="0" borderId="101" xfId="0" applyNumberFormat="1" applyBorder="1" applyAlignment="1">
      <alignment horizontal="center" vertical="center" wrapText="1"/>
    </xf>
    <xf numFmtId="49" fontId="0" fillId="0" borderId="39" xfId="0" applyNumberFormat="1" applyBorder="1" applyAlignment="1">
      <alignment horizontal="left" vertical="center" wrapText="1"/>
    </xf>
    <xf numFmtId="49" fontId="0" fillId="0" borderId="39" xfId="0" quotePrefix="1" applyNumberFormat="1" applyBorder="1" applyAlignment="1">
      <alignment horizontal="left" vertical="center" wrapText="1"/>
    </xf>
    <xf numFmtId="49" fontId="0" fillId="0" borderId="102" xfId="0" applyNumberFormat="1" applyBorder="1" applyAlignment="1">
      <alignment horizontal="center" vertical="center" wrapText="1"/>
    </xf>
    <xf numFmtId="49" fontId="0" fillId="0" borderId="103" xfId="0" applyNumberFormat="1" applyBorder="1" applyAlignment="1">
      <alignment horizontal="center" vertical="center" wrapText="1"/>
    </xf>
    <xf numFmtId="49" fontId="0" fillId="0" borderId="46" xfId="0" quotePrefix="1" applyNumberFormat="1" applyBorder="1" applyAlignment="1">
      <alignment horizontal="left" vertical="center" wrapText="1"/>
    </xf>
    <xf numFmtId="49" fontId="0" fillId="0" borderId="98" xfId="0" quotePrefix="1" applyNumberFormat="1" applyBorder="1" applyAlignment="1">
      <alignment horizontal="left" vertical="center" wrapText="1"/>
    </xf>
    <xf numFmtId="49" fontId="0" fillId="0" borderId="104" xfId="0" applyNumberFormat="1" applyBorder="1" applyAlignment="1">
      <alignment horizontal="center" vertical="center" wrapText="1"/>
    </xf>
    <xf numFmtId="49" fontId="0" fillId="0" borderId="105" xfId="0" applyNumberFormat="1" applyBorder="1" applyAlignment="1">
      <alignment horizontal="center" vertical="center" wrapText="1"/>
    </xf>
    <xf numFmtId="49" fontId="0" fillId="0" borderId="98" xfId="0" applyNumberFormat="1" applyBorder="1" applyAlignment="1">
      <alignment horizontal="left" vertical="center" wrapText="1"/>
    </xf>
    <xf numFmtId="49" fontId="0" fillId="0" borderId="40" xfId="0" applyNumberFormat="1" applyBorder="1" applyAlignment="1">
      <alignment wrapText="1"/>
    </xf>
    <xf numFmtId="49" fontId="0" fillId="0" borderId="39" xfId="0" applyNumberFormat="1" applyBorder="1" applyAlignment="1">
      <alignment wrapText="1"/>
    </xf>
    <xf numFmtId="0" fontId="0" fillId="21" borderId="8" xfId="0" applyFill="1" applyBorder="1" applyAlignment="1">
      <alignment horizontal="center" vertical="center"/>
    </xf>
    <xf numFmtId="0" fontId="0" fillId="21" borderId="10" xfId="0" applyFill="1" applyBorder="1" applyAlignment="1">
      <alignment wrapText="1"/>
    </xf>
    <xf numFmtId="0" fontId="10" fillId="22" borderId="49" xfId="0" applyFont="1" applyFill="1" applyBorder="1"/>
    <xf numFmtId="0" fontId="10" fillId="22" borderId="26" xfId="0" applyFont="1" applyFill="1" applyBorder="1"/>
    <xf numFmtId="0" fontId="10" fillId="22" borderId="55" xfId="0" applyFont="1" applyFill="1" applyBorder="1"/>
    <xf numFmtId="0" fontId="10" fillId="22" borderId="27" xfId="0" applyFont="1" applyFill="1" applyBorder="1"/>
    <xf numFmtId="0" fontId="10" fillId="22" borderId="32" xfId="0" applyFont="1" applyFill="1" applyBorder="1"/>
    <xf numFmtId="0" fontId="17" fillId="22" borderId="30" xfId="0" applyFont="1" applyFill="1" applyBorder="1"/>
    <xf numFmtId="0" fontId="10" fillId="22" borderId="31" xfId="0" applyFont="1" applyFill="1" applyBorder="1"/>
    <xf numFmtId="0" fontId="0" fillId="22" borderId="27" xfId="0" applyFill="1" applyBorder="1" applyAlignment="1">
      <alignment horizontal="left" vertical="center"/>
    </xf>
    <xf numFmtId="0" fontId="0" fillId="22" borderId="31" xfId="0" applyFill="1" applyBorder="1" applyAlignment="1">
      <alignment horizontal="left" vertical="center"/>
    </xf>
    <xf numFmtId="0" fontId="10" fillId="22" borderId="55" xfId="0" applyFont="1" applyFill="1" applyBorder="1" applyAlignment="1">
      <alignment wrapText="1"/>
    </xf>
    <xf numFmtId="0" fontId="10" fillId="22" borderId="30" xfId="0" applyFont="1" applyFill="1" applyBorder="1" applyAlignment="1">
      <alignment horizontal="left"/>
    </xf>
    <xf numFmtId="0" fontId="10" fillId="22" borderId="56" xfId="0" applyFont="1" applyFill="1" applyBorder="1"/>
    <xf numFmtId="0" fontId="10" fillId="22" borderId="31" xfId="0" applyFont="1" applyFill="1" applyBorder="1" applyAlignment="1">
      <alignment horizontal="left" wrapText="1"/>
    </xf>
    <xf numFmtId="0" fontId="10" fillId="22" borderId="31" xfId="0" applyFont="1" applyFill="1" applyBorder="1" applyAlignment="1">
      <alignment horizontal="left"/>
    </xf>
    <xf numFmtId="0" fontId="10" fillId="22" borderId="30" xfId="0" applyFont="1" applyFill="1" applyBorder="1"/>
    <xf numFmtId="0" fontId="10" fillId="22" borderId="54" xfId="0" applyFont="1" applyFill="1" applyBorder="1" applyAlignment="1">
      <alignment horizontal="center" vertical="center"/>
    </xf>
    <xf numFmtId="0" fontId="0" fillId="22" borderId="44" xfId="0" applyFill="1" applyBorder="1" applyAlignment="1">
      <alignment horizontal="left" vertical="center"/>
    </xf>
    <xf numFmtId="0" fontId="17" fillId="23" borderId="30" xfId="0" applyFont="1" applyFill="1" applyBorder="1"/>
    <xf numFmtId="0" fontId="10" fillId="23" borderId="26" xfId="0" applyFont="1" applyFill="1" applyBorder="1"/>
    <xf numFmtId="0" fontId="10" fillId="23" borderId="31" xfId="0" applyFont="1" applyFill="1" applyBorder="1"/>
    <xf numFmtId="0" fontId="10" fillId="23" borderId="27" xfId="0" applyFont="1" applyFill="1" applyBorder="1"/>
    <xf numFmtId="0" fontId="0" fillId="23" borderId="31" xfId="0" applyFill="1" applyBorder="1" applyAlignment="1">
      <alignment horizontal="left" vertical="center"/>
    </xf>
    <xf numFmtId="0" fontId="10" fillId="23" borderId="32" xfId="0" applyFont="1" applyFill="1" applyBorder="1"/>
    <xf numFmtId="0" fontId="10" fillId="23" borderId="30" xfId="0" applyFont="1" applyFill="1" applyBorder="1" applyAlignment="1">
      <alignment horizontal="left" wrapText="1"/>
    </xf>
    <xf numFmtId="0" fontId="10" fillId="23" borderId="31" xfId="0" applyFont="1" applyFill="1" applyBorder="1" applyAlignment="1">
      <alignment wrapText="1"/>
    </xf>
    <xf numFmtId="0" fontId="10" fillId="23" borderId="31" xfId="0" applyFont="1" applyFill="1" applyBorder="1" applyAlignment="1">
      <alignment horizontal="left" wrapText="1"/>
    </xf>
    <xf numFmtId="0" fontId="0" fillId="23" borderId="27" xfId="0" applyFill="1" applyBorder="1" applyAlignment="1">
      <alignment horizontal="left" vertical="center"/>
    </xf>
    <xf numFmtId="0" fontId="0" fillId="23" borderId="28" xfId="0" applyFill="1" applyBorder="1" applyAlignment="1">
      <alignment horizontal="left" vertical="center"/>
    </xf>
    <xf numFmtId="0" fontId="10" fillId="23" borderId="30" xfId="0" applyFont="1" applyFill="1" applyBorder="1" applyAlignment="1">
      <alignment horizontal="left"/>
    </xf>
    <xf numFmtId="0" fontId="10" fillId="23" borderId="55" xfId="0" applyFont="1" applyFill="1" applyBorder="1" applyAlignment="1">
      <alignment horizontal="left"/>
    </xf>
    <xf numFmtId="0" fontId="10" fillId="23" borderId="31" xfId="0" applyFont="1" applyFill="1" applyBorder="1" applyAlignment="1">
      <alignment horizontal="left"/>
    </xf>
    <xf numFmtId="0" fontId="10" fillId="23" borderId="55" xfId="0" applyFont="1" applyFill="1" applyBorder="1" applyAlignment="1">
      <alignment horizontal="left" vertical="center"/>
    </xf>
    <xf numFmtId="0" fontId="0" fillId="23" borderId="57" xfId="0" applyFill="1" applyBorder="1" applyAlignment="1">
      <alignment horizontal="left" vertical="center"/>
    </xf>
    <xf numFmtId="0" fontId="10" fillId="23" borderId="28" xfId="0" applyFont="1" applyFill="1" applyBorder="1" applyAlignment="1">
      <alignment horizontal="center" vertical="center"/>
    </xf>
    <xf numFmtId="0" fontId="0" fillId="23" borderId="81" xfId="0" applyFill="1" applyBorder="1" applyAlignment="1">
      <alignment horizontal="left" vertical="center"/>
    </xf>
    <xf numFmtId="0" fontId="19" fillId="24" borderId="7" xfId="0" applyFont="1" applyFill="1" applyBorder="1" applyAlignment="1">
      <alignment horizontal="center" textRotation="90"/>
    </xf>
    <xf numFmtId="0" fontId="10" fillId="24" borderId="11" xfId="0" applyFont="1" applyFill="1" applyBorder="1" applyAlignment="1">
      <alignment horizontal="center"/>
    </xf>
    <xf numFmtId="0" fontId="10" fillId="24" borderId="8" xfId="0" applyFont="1" applyFill="1" applyBorder="1" applyAlignment="1">
      <alignment horizontal="center"/>
    </xf>
    <xf numFmtId="0" fontId="10" fillId="24" borderId="9" xfId="0" applyFont="1" applyFill="1" applyBorder="1" applyAlignment="1">
      <alignment horizontal="center"/>
    </xf>
    <xf numFmtId="0" fontId="10" fillId="24" borderId="0" xfId="0" applyFont="1" applyFill="1" applyAlignment="1">
      <alignment horizontal="center"/>
    </xf>
    <xf numFmtId="0" fontId="10" fillId="24" borderId="24" xfId="0" applyFont="1" applyFill="1" applyBorder="1" applyAlignment="1">
      <alignment horizontal="center"/>
    </xf>
    <xf numFmtId="0" fontId="10" fillId="24" borderId="10" xfId="0" applyFont="1" applyFill="1" applyBorder="1" applyAlignment="1">
      <alignment horizontal="center"/>
    </xf>
    <xf numFmtId="0" fontId="10" fillId="24" borderId="15" xfId="0" applyFont="1" applyFill="1" applyBorder="1" applyAlignment="1">
      <alignment horizontal="center"/>
    </xf>
    <xf numFmtId="0" fontId="10" fillId="24" borderId="39" xfId="0" applyFont="1" applyFill="1" applyBorder="1" applyAlignment="1">
      <alignment horizontal="center"/>
    </xf>
    <xf numFmtId="0" fontId="13" fillId="23" borderId="7" xfId="0" applyFont="1" applyFill="1" applyBorder="1" applyAlignment="1">
      <alignment horizontal="center" textRotation="90"/>
    </xf>
    <xf numFmtId="0" fontId="13" fillId="23" borderId="107" xfId="0" applyFont="1" applyFill="1" applyBorder="1" applyAlignment="1">
      <alignment horizontal="center" textRotation="90"/>
    </xf>
    <xf numFmtId="0" fontId="10" fillId="23" borderId="9" xfId="0" applyFont="1" applyFill="1" applyBorder="1" applyAlignment="1">
      <alignment horizontal="center"/>
    </xf>
    <xf numFmtId="0" fontId="10" fillId="23" borderId="8" xfId="0" applyFont="1" applyFill="1" applyBorder="1" applyAlignment="1">
      <alignment horizontal="center"/>
    </xf>
    <xf numFmtId="0" fontId="10" fillId="23" borderId="24" xfId="0" applyFont="1" applyFill="1" applyBorder="1" applyAlignment="1">
      <alignment horizontal="center"/>
    </xf>
    <xf numFmtId="0" fontId="10" fillId="23" borderId="11" xfId="0" applyFont="1" applyFill="1" applyBorder="1" applyAlignment="1">
      <alignment horizontal="center"/>
    </xf>
    <xf numFmtId="0" fontId="10" fillId="23" borderId="10" xfId="0" applyFont="1" applyFill="1" applyBorder="1" applyAlignment="1">
      <alignment horizontal="center"/>
    </xf>
    <xf numFmtId="0" fontId="13" fillId="24" borderId="28" xfId="0" applyFont="1" applyFill="1" applyBorder="1" applyAlignment="1">
      <alignment horizontal="center" textRotation="90"/>
    </xf>
    <xf numFmtId="0" fontId="13" fillId="24" borderId="76" xfId="0" applyFont="1" applyFill="1" applyBorder="1" applyAlignment="1">
      <alignment horizontal="center" textRotation="90"/>
    </xf>
    <xf numFmtId="0" fontId="13" fillId="24" borderId="108" xfId="0" applyFont="1" applyFill="1" applyBorder="1" applyAlignment="1">
      <alignment horizontal="center" textRotation="90"/>
    </xf>
    <xf numFmtId="0" fontId="13" fillId="24" borderId="109" xfId="0" applyFont="1" applyFill="1" applyBorder="1" applyAlignment="1">
      <alignment horizontal="center" textRotation="90"/>
    </xf>
    <xf numFmtId="0" fontId="13" fillId="23" borderId="2" xfId="0" applyFont="1" applyFill="1" applyBorder="1" applyAlignment="1">
      <alignment horizontal="center" textRotation="90"/>
    </xf>
    <xf numFmtId="0" fontId="13" fillId="23" borderId="22" xfId="0" applyFont="1" applyFill="1" applyBorder="1" applyAlignment="1">
      <alignment horizontal="center" textRotation="90"/>
    </xf>
    <xf numFmtId="0" fontId="10" fillId="23" borderId="12" xfId="0" applyFont="1" applyFill="1" applyBorder="1" applyAlignment="1">
      <alignment horizontal="center"/>
    </xf>
    <xf numFmtId="0" fontId="10" fillId="23" borderId="16" xfId="0" applyFont="1" applyFill="1" applyBorder="1" applyAlignment="1">
      <alignment horizontal="center"/>
    </xf>
    <xf numFmtId="0" fontId="10" fillId="24" borderId="29" xfId="0" applyFont="1" applyFill="1" applyBorder="1" applyAlignment="1">
      <alignment horizontal="center" textRotation="90"/>
    </xf>
    <xf numFmtId="0" fontId="10" fillId="24" borderId="25" xfId="0" applyFont="1" applyFill="1" applyBorder="1" applyAlignment="1">
      <alignment horizontal="center" textRotation="90"/>
    </xf>
    <xf numFmtId="0" fontId="10" fillId="24" borderId="35" xfId="0" applyFont="1" applyFill="1" applyBorder="1" applyAlignment="1">
      <alignment horizontal="center" textRotation="90"/>
    </xf>
    <xf numFmtId="0" fontId="10" fillId="24" borderId="37" xfId="0" applyFont="1" applyFill="1" applyBorder="1" applyAlignment="1">
      <alignment horizontal="center"/>
    </xf>
    <xf numFmtId="0" fontId="10" fillId="24" borderId="24" xfId="0" applyFont="1" applyFill="1" applyBorder="1" applyAlignment="1">
      <alignment horizontal="center" textRotation="90"/>
    </xf>
    <xf numFmtId="0" fontId="10" fillId="24" borderId="38" xfId="0" applyFont="1" applyFill="1" applyBorder="1" applyAlignment="1">
      <alignment horizontal="center"/>
    </xf>
    <xf numFmtId="0" fontId="10" fillId="23" borderId="37" xfId="0" applyFont="1" applyFill="1" applyBorder="1" applyAlignment="1">
      <alignment horizontal="center"/>
    </xf>
    <xf numFmtId="0" fontId="10" fillId="23" borderId="24" xfId="0" applyFont="1" applyFill="1" applyBorder="1" applyAlignment="1">
      <alignment horizontal="center" textRotation="90"/>
    </xf>
    <xf numFmtId="0" fontId="10" fillId="23" borderId="38" xfId="0" applyFont="1" applyFill="1" applyBorder="1" applyAlignment="1">
      <alignment horizontal="center"/>
    </xf>
    <xf numFmtId="0" fontId="0" fillId="12" borderId="10" xfId="0" applyFill="1" applyBorder="1" applyAlignment="1">
      <alignment wrapText="1"/>
    </xf>
    <xf numFmtId="0" fontId="10" fillId="23" borderId="106" xfId="0" applyFont="1" applyFill="1" applyBorder="1" applyAlignment="1">
      <alignment horizontal="center" textRotation="90"/>
    </xf>
    <xf numFmtId="0" fontId="18" fillId="24" borderId="8" xfId="0" applyFont="1" applyFill="1" applyBorder="1" applyAlignment="1">
      <alignment horizontal="center"/>
    </xf>
    <xf numFmtId="0" fontId="0" fillId="23" borderId="24" xfId="0" applyFill="1" applyBorder="1" applyAlignment="1">
      <alignment horizontal="left" vertical="center"/>
    </xf>
    <xf numFmtId="0" fontId="0" fillId="23" borderId="24" xfId="0" applyFill="1" applyBorder="1" applyAlignment="1">
      <alignment horizontal="center" vertical="center" textRotation="90"/>
    </xf>
    <xf numFmtId="0" fontId="10" fillId="24" borderId="110" xfId="0" applyFont="1" applyFill="1" applyBorder="1" applyAlignment="1">
      <alignment horizontal="center"/>
    </xf>
    <xf numFmtId="0" fontId="10" fillId="24" borderId="60" xfId="0" applyFont="1" applyFill="1" applyBorder="1" applyAlignment="1">
      <alignment horizontal="center"/>
    </xf>
    <xf numFmtId="0" fontId="10" fillId="24" borderId="60" xfId="0" applyFont="1" applyFill="1" applyBorder="1" applyAlignment="1">
      <alignment horizontal="center" textRotation="90"/>
    </xf>
    <xf numFmtId="0" fontId="10" fillId="24" borderId="87" xfId="0" applyFont="1" applyFill="1" applyBorder="1" applyAlignment="1">
      <alignment horizontal="center"/>
    </xf>
    <xf numFmtId="0" fontId="10" fillId="24" borderId="98" xfId="0" applyFont="1" applyFill="1" applyBorder="1" applyAlignment="1">
      <alignment horizontal="center"/>
    </xf>
    <xf numFmtId="0" fontId="10" fillId="24" borderId="39" xfId="0" applyFont="1" applyFill="1" applyBorder="1" applyAlignment="1">
      <alignment horizontal="center" textRotation="90"/>
    </xf>
    <xf numFmtId="0" fontId="10" fillId="24" borderId="53" xfId="0" applyFont="1" applyFill="1" applyBorder="1" applyAlignment="1">
      <alignment horizontal="center"/>
    </xf>
    <xf numFmtId="0" fontId="18" fillId="0" borderId="24" xfId="0" applyFont="1" applyBorder="1" applyAlignment="1">
      <alignment wrapText="1"/>
    </xf>
    <xf numFmtId="0" fontId="10" fillId="0" borderId="59" xfId="0" applyFont="1" applyBorder="1" applyAlignment="1">
      <alignment wrapText="1"/>
    </xf>
    <xf numFmtId="0" fontId="10" fillId="0" borderId="101" xfId="0" applyFont="1" applyBorder="1" applyAlignment="1">
      <alignment wrapText="1"/>
    </xf>
    <xf numFmtId="0" fontId="10" fillId="0" borderId="57" xfId="0" applyFont="1" applyBorder="1" applyAlignment="1">
      <alignment wrapText="1"/>
    </xf>
    <xf numFmtId="0" fontId="18" fillId="24" borderId="39" xfId="0" applyFont="1" applyFill="1" applyBorder="1" applyAlignment="1">
      <alignment horizontal="center"/>
    </xf>
    <xf numFmtId="0" fontId="18" fillId="24" borderId="24" xfId="0" applyFont="1" applyFill="1" applyBorder="1" applyAlignment="1">
      <alignment horizontal="center"/>
    </xf>
    <xf numFmtId="0" fontId="18" fillId="23" borderId="24" xfId="0" applyFont="1" applyFill="1" applyBorder="1" applyAlignment="1">
      <alignment horizontal="center"/>
    </xf>
    <xf numFmtId="0" fontId="18" fillId="24" borderId="60" xfId="0" applyFont="1" applyFill="1" applyBorder="1" applyAlignment="1">
      <alignment horizontal="center"/>
    </xf>
    <xf numFmtId="0" fontId="19" fillId="23" borderId="22" xfId="0" applyFont="1" applyFill="1" applyBorder="1" applyAlignment="1">
      <alignment horizontal="center" textRotation="90"/>
    </xf>
    <xf numFmtId="0" fontId="18" fillId="23" borderId="12" xfId="0" applyFont="1" applyFill="1" applyBorder="1" applyAlignment="1">
      <alignment horizontal="center"/>
    </xf>
    <xf numFmtId="0" fontId="10" fillId="20" borderId="0" xfId="0" applyFont="1" applyFill="1" applyAlignment="1">
      <alignment horizontal="center" textRotation="90"/>
    </xf>
    <xf numFmtId="0" fontId="10" fillId="20" borderId="0" xfId="0" applyFont="1" applyFill="1" applyAlignment="1">
      <alignment horizontal="center"/>
    </xf>
    <xf numFmtId="0" fontId="18" fillId="20" borderId="0" xfId="0" applyFont="1" applyFill="1" applyAlignment="1">
      <alignment horizontal="center"/>
    </xf>
    <xf numFmtId="0" fontId="10" fillId="23" borderId="110" xfId="0" applyFont="1" applyFill="1" applyBorder="1" applyAlignment="1">
      <alignment horizontal="center"/>
    </xf>
    <xf numFmtId="0" fontId="10" fillId="23" borderId="60" xfId="0" applyFont="1" applyFill="1" applyBorder="1" applyAlignment="1">
      <alignment horizontal="center"/>
    </xf>
    <xf numFmtId="0" fontId="10" fillId="23" borderId="60" xfId="0" applyFont="1" applyFill="1" applyBorder="1" applyAlignment="1">
      <alignment horizontal="center" textRotation="90"/>
    </xf>
    <xf numFmtId="0" fontId="10" fillId="23" borderId="87" xfId="0" applyFont="1" applyFill="1" applyBorder="1" applyAlignment="1">
      <alignment horizontal="center"/>
    </xf>
    <xf numFmtId="0" fontId="18" fillId="23" borderId="60" xfId="0" applyFont="1" applyFill="1" applyBorder="1" applyAlignment="1">
      <alignment horizontal="center"/>
    </xf>
    <xf numFmtId="0" fontId="0" fillId="0" borderId="10" xfId="0" applyBorder="1" applyAlignment="1">
      <alignment vertical="center" wrapText="1"/>
    </xf>
    <xf numFmtId="0" fontId="0" fillId="0" borderId="10" xfId="0" applyBorder="1" applyAlignment="1">
      <alignment horizontal="left" vertical="center"/>
    </xf>
    <xf numFmtId="0" fontId="21" fillId="0" borderId="0" xfId="2"/>
    <xf numFmtId="0" fontId="10" fillId="0" borderId="62" xfId="0" applyFont="1" applyBorder="1" applyAlignment="1">
      <alignment wrapText="1"/>
    </xf>
    <xf numFmtId="0" fontId="10" fillId="0" borderId="75" xfId="0" applyFont="1" applyBorder="1" applyAlignment="1">
      <alignment vertical="center" wrapText="1"/>
    </xf>
    <xf numFmtId="0" fontId="10" fillId="0" borderId="48" xfId="0" applyFont="1" applyBorder="1" applyAlignment="1">
      <alignment vertical="center" wrapText="1"/>
    </xf>
    <xf numFmtId="0" fontId="10" fillId="0" borderId="76" xfId="0" applyFont="1" applyBorder="1" applyAlignment="1">
      <alignment vertical="center" wrapText="1"/>
    </xf>
    <xf numFmtId="0" fontId="0" fillId="0" borderId="101" xfId="0" applyBorder="1"/>
    <xf numFmtId="0" fontId="18" fillId="0" borderId="38" xfId="0" applyFont="1" applyBorder="1" applyAlignment="1">
      <alignment wrapText="1"/>
    </xf>
    <xf numFmtId="0" fontId="11" fillId="20" borderId="0" xfId="0" applyFont="1" applyFill="1" applyAlignment="1">
      <alignment horizontal="center"/>
    </xf>
    <xf numFmtId="0" fontId="10" fillId="23" borderId="28" xfId="0" applyFont="1" applyFill="1" applyBorder="1" applyAlignment="1">
      <alignment horizontal="center" textRotation="90"/>
    </xf>
    <xf numFmtId="0" fontId="0" fillId="0" borderId="0" xfId="0" applyAlignment="1">
      <alignment horizontal="right" vertical="center" wrapText="1"/>
    </xf>
    <xf numFmtId="0" fontId="0" fillId="0" borderId="0" xfId="0" applyAlignment="1">
      <alignment horizontal="right" vertical="center"/>
    </xf>
    <xf numFmtId="0" fontId="4" fillId="25" borderId="13" xfId="0" applyFont="1" applyFill="1" applyBorder="1" applyAlignment="1">
      <alignment horizontal="center" vertical="center" wrapText="1"/>
    </xf>
    <xf numFmtId="0" fontId="18" fillId="26" borderId="24" xfId="0" applyFont="1" applyFill="1" applyBorder="1" applyAlignment="1">
      <alignment wrapText="1"/>
    </xf>
    <xf numFmtId="0" fontId="18" fillId="27" borderId="24" xfId="0" applyFont="1" applyFill="1" applyBorder="1" applyAlignment="1">
      <alignment wrapText="1"/>
    </xf>
    <xf numFmtId="0" fontId="22" fillId="26" borderId="24" xfId="0" applyFont="1" applyFill="1" applyBorder="1" applyAlignment="1">
      <alignment wrapText="1"/>
    </xf>
    <xf numFmtId="0" fontId="0" fillId="26" borderId="24" xfId="0" applyFill="1" applyBorder="1"/>
    <xf numFmtId="0" fontId="10" fillId="26" borderId="24" xfId="0" applyFont="1" applyFill="1" applyBorder="1"/>
    <xf numFmtId="0" fontId="18" fillId="26" borderId="24" xfId="0" applyFont="1" applyFill="1" applyBorder="1"/>
    <xf numFmtId="0" fontId="18" fillId="27" borderId="24" xfId="0" applyFont="1" applyFill="1" applyBorder="1"/>
    <xf numFmtId="0" fontId="18" fillId="27" borderId="24" xfId="0" applyFont="1" applyFill="1" applyBorder="1" applyAlignment="1">
      <alignment vertical="center" wrapText="1"/>
    </xf>
    <xf numFmtId="0" fontId="0" fillId="27" borderId="24" xfId="0" applyFill="1"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87" xfId="0" applyBorder="1"/>
    <xf numFmtId="0" fontId="0" fillId="0" borderId="38" xfId="0" applyBorder="1"/>
    <xf numFmtId="0" fontId="13" fillId="0" borderId="53" xfId="0" applyFont="1" applyBorder="1" applyAlignment="1">
      <alignment horizontal="left" vertical="center"/>
    </xf>
    <xf numFmtId="0" fontId="10" fillId="0" borderId="38" xfId="0" applyFont="1" applyBorder="1" applyAlignment="1">
      <alignment horizontal="center" vertical="center"/>
    </xf>
    <xf numFmtId="0" fontId="0" fillId="0" borderId="24" xfId="0" applyBorder="1" applyAlignment="1">
      <alignment horizontal="left" vertical="center" wrapText="1"/>
    </xf>
    <xf numFmtId="0" fontId="3" fillId="0" borderId="0" xfId="0" applyFont="1" applyAlignment="1">
      <alignment horizontal="left" vertical="center" wrapText="1"/>
    </xf>
    <xf numFmtId="0" fontId="10" fillId="0" borderId="118" xfId="0" applyFont="1" applyBorder="1" applyAlignment="1">
      <alignment horizontal="center" vertical="center" wrapText="1"/>
    </xf>
    <xf numFmtId="0" fontId="10" fillId="0" borderId="116" xfId="0" applyFont="1" applyBorder="1" applyAlignment="1">
      <alignment horizontal="center" vertical="center" wrapText="1"/>
    </xf>
    <xf numFmtId="0" fontId="10" fillId="0" borderId="119" xfId="0" applyFont="1" applyBorder="1" applyAlignment="1">
      <alignment horizontal="center" vertical="center" wrapText="1"/>
    </xf>
    <xf numFmtId="0" fontId="10" fillId="0" borderId="114" xfId="0" applyFont="1" applyBorder="1" applyAlignment="1">
      <alignment horizontal="center" vertical="center" wrapText="1"/>
    </xf>
    <xf numFmtId="0" fontId="0" fillId="0" borderId="119" xfId="0" applyBorder="1" applyAlignment="1">
      <alignment horizontal="center" vertical="center" wrapText="1"/>
    </xf>
    <xf numFmtId="0" fontId="0" fillId="0" borderId="114" xfId="0" applyBorder="1" applyAlignment="1">
      <alignment horizontal="center" vertical="center"/>
    </xf>
    <xf numFmtId="0" fontId="0" fillId="0" borderId="120" xfId="0" applyBorder="1" applyAlignment="1">
      <alignment vertical="center" wrapText="1"/>
    </xf>
    <xf numFmtId="0" fontId="0" fillId="0" borderId="61" xfId="0" applyBorder="1" applyAlignment="1">
      <alignment horizontal="center" vertical="center"/>
    </xf>
    <xf numFmtId="0" fontId="15" fillId="18" borderId="17" xfId="0" applyFont="1" applyFill="1" applyBorder="1" applyAlignment="1">
      <alignment horizontal="center" vertical="center" wrapText="1"/>
    </xf>
    <xf numFmtId="0" fontId="15" fillId="18" borderId="1" xfId="0" applyFont="1" applyFill="1" applyBorder="1" applyAlignment="1">
      <alignment horizontal="center" vertical="center" wrapText="1"/>
    </xf>
    <xf numFmtId="0" fontId="15" fillId="18" borderId="117" xfId="0" applyFont="1" applyFill="1" applyBorder="1" applyAlignment="1">
      <alignment horizontal="center" vertical="center"/>
    </xf>
    <xf numFmtId="0" fontId="10" fillId="0" borderId="120" xfId="0" applyFont="1" applyBorder="1" applyAlignment="1">
      <alignment horizontal="center" vertical="center" wrapText="1"/>
    </xf>
    <xf numFmtId="0" fontId="10" fillId="0" borderId="61" xfId="0" applyFont="1" applyBorder="1" applyAlignment="1">
      <alignment horizontal="center" vertical="center" wrapText="1"/>
    </xf>
    <xf numFmtId="0" fontId="0" fillId="0" borderId="8" xfId="0" applyBorder="1" applyAlignment="1">
      <alignment horizontal="left" vertical="center" wrapText="1"/>
    </xf>
    <xf numFmtId="0" fontId="0" fillId="0" borderId="121" xfId="0" applyBorder="1" applyAlignment="1">
      <alignment vertical="center" wrapText="1"/>
    </xf>
    <xf numFmtId="0" fontId="0" fillId="0" borderId="122" xfId="0" applyBorder="1" applyAlignment="1">
      <alignment horizontal="center" vertical="center"/>
    </xf>
    <xf numFmtId="0" fontId="0" fillId="0" borderId="119" xfId="0" applyBorder="1" applyAlignment="1">
      <alignment vertical="center" wrapText="1"/>
    </xf>
    <xf numFmtId="0" fontId="10" fillId="0" borderId="115" xfId="0" applyFont="1" applyBorder="1" applyAlignment="1">
      <alignment horizontal="center" vertical="center" wrapText="1"/>
    </xf>
    <xf numFmtId="0" fontId="10" fillId="0" borderId="121" xfId="0" applyFont="1" applyBorder="1" applyAlignment="1">
      <alignment horizontal="center" vertical="center" wrapText="1"/>
    </xf>
    <xf numFmtId="0" fontId="10" fillId="0" borderId="122" xfId="0" applyFont="1" applyBorder="1" applyAlignment="1">
      <alignment horizontal="center" vertical="center" wrapText="1"/>
    </xf>
    <xf numFmtId="0" fontId="0" fillId="0" borderId="9" xfId="0" applyBorder="1" applyAlignment="1">
      <alignment horizontal="left" vertical="center" wrapText="1"/>
    </xf>
    <xf numFmtId="0" fontId="0" fillId="0" borderId="19" xfId="0" applyBorder="1" applyAlignment="1">
      <alignment horizontal="left" vertical="center" wrapText="1"/>
    </xf>
    <xf numFmtId="0" fontId="0" fillId="0" borderId="121" xfId="0" applyBorder="1" applyAlignment="1">
      <alignment horizontal="center" vertical="center" wrapText="1"/>
    </xf>
    <xf numFmtId="0" fontId="0" fillId="0" borderId="107" xfId="0" applyBorder="1" applyAlignment="1">
      <alignment vertical="center" wrapText="1"/>
    </xf>
    <xf numFmtId="0" fontId="10" fillId="0" borderId="126" xfId="0" applyFont="1" applyBorder="1" applyAlignment="1">
      <alignment horizontal="center" vertical="center" wrapText="1"/>
    </xf>
    <xf numFmtId="0" fontId="0" fillId="0" borderId="127" xfId="0" applyBorder="1" applyAlignment="1">
      <alignment horizontal="center" vertical="center"/>
    </xf>
    <xf numFmtId="0" fontId="0" fillId="0" borderId="9" xfId="0" applyBorder="1" applyAlignment="1">
      <alignment horizontal="center" vertical="center" textRotation="90"/>
    </xf>
    <xf numFmtId="0" fontId="0" fillId="0" borderId="1" xfId="0" applyBorder="1" applyAlignment="1">
      <alignment horizontal="center" vertical="center" textRotation="90"/>
    </xf>
    <xf numFmtId="0" fontId="0" fillId="0" borderId="10" xfId="0" applyBorder="1" applyAlignment="1">
      <alignment horizontal="center" vertical="center" textRotation="90"/>
    </xf>
    <xf numFmtId="0" fontId="0" fillId="0" borderId="8" xfId="0" applyBorder="1" applyAlignment="1">
      <alignment horizontal="center"/>
    </xf>
    <xf numFmtId="0" fontId="0" fillId="0" borderId="12" xfId="0" applyBorder="1" applyAlignment="1">
      <alignment horizontal="center"/>
    </xf>
    <xf numFmtId="0" fontId="0" fillId="0" borderId="21"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8" xfId="0" applyBorder="1" applyAlignment="1">
      <alignment horizontal="center" vertical="center" textRotation="90"/>
    </xf>
    <xf numFmtId="0" fontId="10" fillId="17" borderId="5" xfId="0" applyFont="1" applyFill="1" applyBorder="1" applyAlignment="1">
      <alignment vertical="center" wrapText="1"/>
    </xf>
    <xf numFmtId="0" fontId="10" fillId="17" borderId="6" xfId="0" applyFont="1" applyFill="1" applyBorder="1" applyAlignment="1">
      <alignment vertical="center" wrapText="1"/>
    </xf>
    <xf numFmtId="0" fontId="10" fillId="0" borderId="72" xfId="0" applyFont="1" applyBorder="1" applyAlignment="1">
      <alignment vertical="center" wrapText="1"/>
    </xf>
    <xf numFmtId="0" fontId="10" fillId="17" borderId="111" xfId="0" applyFont="1" applyFill="1" applyBorder="1" applyAlignment="1">
      <alignment vertical="center" wrapText="1"/>
    </xf>
    <xf numFmtId="0" fontId="10" fillId="17" borderId="113" xfId="0" applyFont="1" applyFill="1" applyBorder="1" applyAlignment="1">
      <alignment vertical="center" wrapText="1"/>
    </xf>
    <xf numFmtId="0" fontId="10" fillId="17" borderId="108" xfId="0" applyFont="1" applyFill="1" applyBorder="1" applyAlignment="1">
      <alignment vertical="center" wrapText="1"/>
    </xf>
    <xf numFmtId="0" fontId="10" fillId="0" borderId="112" xfId="0" applyFont="1" applyBorder="1" applyAlignment="1">
      <alignment vertical="center" wrapText="1"/>
    </xf>
    <xf numFmtId="0" fontId="10" fillId="0" borderId="77" xfId="0" applyFont="1" applyBorder="1" applyAlignment="1">
      <alignment vertical="center" wrapText="1"/>
    </xf>
    <xf numFmtId="0" fontId="10" fillId="6" borderId="30" xfId="0" applyFont="1" applyFill="1" applyBorder="1" applyAlignment="1">
      <alignment vertical="center"/>
    </xf>
    <xf numFmtId="0" fontId="10" fillId="6" borderId="31" xfId="0" applyFont="1" applyFill="1" applyBorder="1" applyAlignment="1">
      <alignment vertical="center"/>
    </xf>
    <xf numFmtId="0" fontId="10" fillId="6" borderId="54" xfId="0" applyFont="1" applyFill="1" applyBorder="1" applyAlignment="1">
      <alignment vertical="center"/>
    </xf>
    <xf numFmtId="0" fontId="10" fillId="0" borderId="79" xfId="0" applyFont="1" applyBorder="1" applyAlignment="1">
      <alignment vertical="center"/>
    </xf>
    <xf numFmtId="0" fontId="10" fillId="0" borderId="96" xfId="0" applyFont="1" applyBorder="1" applyAlignment="1">
      <alignment vertical="center"/>
    </xf>
    <xf numFmtId="0" fontId="10" fillId="0" borderId="97" xfId="0" applyFont="1" applyBorder="1" applyAlignment="1">
      <alignment vertical="center"/>
    </xf>
    <xf numFmtId="0" fontId="10" fillId="6" borderId="49" xfId="0" applyFont="1" applyFill="1" applyBorder="1" applyAlignment="1">
      <alignment vertical="center"/>
    </xf>
    <xf numFmtId="0" fontId="10" fillId="6" borderId="55" xfId="0" applyFont="1" applyFill="1" applyBorder="1" applyAlignment="1">
      <alignment vertical="center"/>
    </xf>
    <xf numFmtId="0" fontId="10" fillId="0" borderId="88" xfId="0" applyFont="1" applyBorder="1" applyAlignment="1">
      <alignment vertical="center"/>
    </xf>
    <xf numFmtId="0" fontId="10" fillId="0" borderId="47" xfId="0" applyFont="1" applyBorder="1" applyAlignment="1">
      <alignment vertical="center"/>
    </xf>
    <xf numFmtId="0" fontId="10" fillId="0" borderId="17" xfId="0" applyFont="1" applyBorder="1" applyAlignment="1">
      <alignment vertical="center"/>
    </xf>
    <xf numFmtId="0" fontId="10" fillId="0" borderId="39" xfId="0" applyFont="1" applyBorder="1" applyAlignment="1">
      <alignment vertical="center"/>
    </xf>
    <xf numFmtId="0" fontId="1" fillId="2" borderId="8" xfId="0" applyFont="1" applyFill="1" applyBorder="1" applyAlignment="1">
      <alignment horizontal="center" vertical="center" wrapText="1"/>
    </xf>
    <xf numFmtId="0" fontId="11" fillId="23" borderId="29" xfId="0" applyFont="1" applyFill="1" applyBorder="1" applyAlignment="1">
      <alignment horizontal="center"/>
    </xf>
    <xf numFmtId="0" fontId="11" fillId="23" borderId="35" xfId="0" applyFont="1" applyFill="1" applyBorder="1" applyAlignment="1">
      <alignment horizontal="center"/>
    </xf>
    <xf numFmtId="0" fontId="11" fillId="23" borderId="33" xfId="0" applyFont="1" applyFill="1" applyBorder="1" applyAlignment="1">
      <alignment horizontal="center"/>
    </xf>
    <xf numFmtId="0" fontId="11" fillId="24" borderId="29" xfId="0" applyFont="1" applyFill="1" applyBorder="1" applyAlignment="1">
      <alignment horizontal="center" wrapText="1"/>
    </xf>
    <xf numFmtId="0" fontId="11" fillId="24" borderId="35" xfId="0" applyFont="1" applyFill="1" applyBorder="1" applyAlignment="1">
      <alignment horizontal="center" wrapText="1"/>
    </xf>
    <xf numFmtId="0" fontId="11" fillId="24" borderId="34" xfId="0" applyFont="1" applyFill="1" applyBorder="1" applyAlignment="1">
      <alignment horizontal="center" wrapText="1"/>
    </xf>
    <xf numFmtId="0" fontId="18" fillId="26" borderId="24" xfId="0" applyFont="1" applyFill="1" applyBorder="1" applyAlignment="1">
      <alignment horizontal="left" wrapText="1"/>
    </xf>
    <xf numFmtId="0" fontId="11" fillId="24" borderId="33" xfId="0" applyFont="1" applyFill="1" applyBorder="1" applyAlignment="1">
      <alignment horizontal="center" wrapText="1"/>
    </xf>
    <xf numFmtId="0" fontId="20" fillId="23" borderId="29" xfId="0" applyFont="1" applyFill="1" applyBorder="1" applyAlignment="1">
      <alignment horizontal="center" wrapText="1"/>
    </xf>
    <xf numFmtId="0" fontId="20" fillId="23" borderId="33" xfId="0" applyFont="1" applyFill="1" applyBorder="1" applyAlignment="1">
      <alignment horizontal="center" wrapText="1"/>
    </xf>
    <xf numFmtId="0" fontId="0" fillId="0" borderId="0" xfId="0" applyAlignment="1">
      <alignment horizontal="left" vertical="center" wrapText="1"/>
    </xf>
    <xf numFmtId="0" fontId="11" fillId="24" borderId="30" xfId="0" applyFont="1" applyFill="1" applyBorder="1" applyAlignment="1">
      <alignment horizontal="center"/>
    </xf>
    <xf numFmtId="0" fontId="11" fillId="24" borderId="34" xfId="0" applyFont="1" applyFill="1" applyBorder="1" applyAlignment="1">
      <alignment horizontal="center"/>
    </xf>
    <xf numFmtId="0" fontId="11" fillId="23" borderId="3" xfId="0" applyFont="1" applyFill="1" applyBorder="1" applyAlignment="1">
      <alignment horizontal="center" wrapText="1"/>
    </xf>
    <xf numFmtId="0" fontId="20" fillId="24" borderId="29" xfId="0" applyFont="1" applyFill="1" applyBorder="1" applyAlignment="1">
      <alignment horizontal="center" wrapText="1"/>
    </xf>
    <xf numFmtId="0" fontId="20" fillId="24" borderId="35" xfId="0" applyFont="1" applyFill="1" applyBorder="1" applyAlignment="1">
      <alignment horizontal="center" wrapText="1"/>
    </xf>
    <xf numFmtId="0" fontId="11" fillId="23" borderId="29" xfId="0" applyFont="1" applyFill="1" applyBorder="1" applyAlignment="1">
      <alignment horizontal="center" wrapText="1"/>
    </xf>
    <xf numFmtId="0" fontId="11" fillId="23" borderId="35" xfId="0" applyFont="1" applyFill="1" applyBorder="1" applyAlignment="1">
      <alignment horizontal="center" wrapText="1"/>
    </xf>
    <xf numFmtId="49" fontId="0" fillId="0" borderId="30" xfId="0" applyNumberFormat="1" applyBorder="1" applyAlignment="1">
      <alignment horizontal="center" vertical="center" textRotation="90" wrapText="1"/>
    </xf>
    <xf numFmtId="49" fontId="0" fillId="0" borderId="54" xfId="0" applyNumberFormat="1" applyBorder="1" applyAlignment="1">
      <alignment horizontal="center" vertical="center" textRotation="90" wrapText="1"/>
    </xf>
    <xf numFmtId="49" fontId="0" fillId="0" borderId="91" xfId="0" applyNumberFormat="1" applyBorder="1" applyAlignment="1">
      <alignment horizontal="center" vertical="center" textRotation="90" wrapText="1"/>
    </xf>
    <xf numFmtId="49" fontId="0" fillId="0" borderId="100" xfId="0" applyNumberFormat="1" applyBorder="1" applyAlignment="1">
      <alignment horizontal="center" vertical="center" textRotation="90" wrapText="1"/>
    </xf>
    <xf numFmtId="49" fontId="1" fillId="0" borderId="4" xfId="0" applyNumberFormat="1" applyFont="1" applyBorder="1" applyAlignment="1">
      <alignment horizontal="center" vertical="center"/>
    </xf>
    <xf numFmtId="49" fontId="1" fillId="0" borderId="18" xfId="0" applyNumberFormat="1" applyFont="1" applyBorder="1" applyAlignment="1">
      <alignment horizontal="center" vertical="center"/>
    </xf>
    <xf numFmtId="49" fontId="1" fillId="0" borderId="23" xfId="0" applyNumberFormat="1" applyFont="1" applyBorder="1" applyAlignment="1">
      <alignment horizontal="center" vertical="center"/>
    </xf>
    <xf numFmtId="49" fontId="0" fillId="0" borderId="99" xfId="0" applyNumberFormat="1" applyBorder="1" applyAlignment="1">
      <alignment horizontal="center" vertical="center" textRotation="90" wrapText="1"/>
    </xf>
    <xf numFmtId="49" fontId="0" fillId="0" borderId="49" xfId="0" applyNumberFormat="1" applyBorder="1" applyAlignment="1">
      <alignment horizontal="center" vertical="center" textRotation="90" wrapText="1"/>
    </xf>
    <xf numFmtId="49" fontId="0" fillId="0" borderId="55" xfId="0" applyNumberFormat="1" applyBorder="1" applyAlignment="1">
      <alignment horizontal="center" vertical="center" textRotation="90" wrapText="1"/>
    </xf>
    <xf numFmtId="49" fontId="0" fillId="0" borderId="31" xfId="0" applyNumberFormat="1" applyBorder="1" applyAlignment="1">
      <alignment horizontal="center" vertical="center" textRotation="90" wrapText="1"/>
    </xf>
    <xf numFmtId="49" fontId="14" fillId="0" borderId="30" xfId="0" applyNumberFormat="1" applyFont="1" applyBorder="1" applyAlignment="1">
      <alignment horizontal="center" vertical="center" textRotation="90" wrapText="1"/>
    </xf>
    <xf numFmtId="49" fontId="14" fillId="0" borderId="31" xfId="0" applyNumberFormat="1" applyFont="1" applyBorder="1" applyAlignment="1">
      <alignment horizontal="center" vertical="center" textRotation="90" wrapText="1"/>
    </xf>
    <xf numFmtId="0" fontId="10" fillId="19" borderId="5" xfId="0" applyFont="1" applyFill="1" applyBorder="1" applyAlignment="1">
      <alignment horizontal="center" vertical="center" textRotation="90"/>
    </xf>
    <xf numFmtId="0" fontId="10" fillId="19" borderId="6" xfId="0" applyFont="1" applyFill="1" applyBorder="1" applyAlignment="1">
      <alignment horizontal="center" vertical="center" textRotation="90"/>
    </xf>
    <xf numFmtId="0" fontId="10" fillId="19" borderId="7" xfId="0" applyFont="1" applyFill="1" applyBorder="1" applyAlignment="1">
      <alignment horizontal="center" vertical="center" textRotation="90"/>
    </xf>
    <xf numFmtId="0" fontId="10" fillId="19" borderId="4" xfId="0" applyFont="1" applyFill="1" applyBorder="1" applyAlignment="1">
      <alignment horizontal="center" vertical="center" textRotation="90"/>
    </xf>
    <xf numFmtId="0" fontId="10" fillId="19" borderId="72" xfId="0" applyFont="1" applyFill="1" applyBorder="1" applyAlignment="1">
      <alignment horizontal="center" vertical="center" textRotation="90"/>
    </xf>
    <xf numFmtId="0" fontId="10" fillId="19" borderId="107" xfId="0" applyFont="1" applyFill="1" applyBorder="1" applyAlignment="1">
      <alignment horizontal="center" vertical="center" textRotation="90"/>
    </xf>
    <xf numFmtId="0" fontId="10" fillId="19" borderId="124" xfId="0" applyFont="1" applyFill="1" applyBorder="1" applyAlignment="1">
      <alignment horizontal="center" vertical="center" textRotation="90"/>
    </xf>
    <xf numFmtId="0" fontId="10" fillId="19" borderId="31" xfId="0" applyFont="1" applyFill="1" applyBorder="1" applyAlignment="1">
      <alignment horizontal="center" vertical="center" textRotation="90"/>
    </xf>
    <xf numFmtId="0" fontId="10" fillId="19" borderId="54" xfId="0" applyFont="1" applyFill="1" applyBorder="1" applyAlignment="1">
      <alignment horizontal="center" vertical="center" textRotation="90"/>
    </xf>
    <xf numFmtId="0" fontId="10" fillId="19" borderId="49" xfId="0" applyFont="1" applyFill="1" applyBorder="1" applyAlignment="1">
      <alignment horizontal="center" vertical="center" textRotation="90"/>
    </xf>
    <xf numFmtId="0" fontId="10" fillId="19" borderId="55" xfId="0" applyFont="1" applyFill="1" applyBorder="1" applyAlignment="1">
      <alignment horizontal="center" vertical="center" textRotation="90"/>
    </xf>
    <xf numFmtId="0" fontId="10" fillId="19" borderId="28" xfId="0" applyFont="1" applyFill="1" applyBorder="1" applyAlignment="1">
      <alignment horizontal="center" vertical="center" textRotation="90"/>
    </xf>
    <xf numFmtId="0" fontId="10" fillId="19" borderId="125" xfId="0" applyFont="1" applyFill="1" applyBorder="1" applyAlignment="1">
      <alignment horizontal="center" vertical="center" textRotation="90"/>
    </xf>
    <xf numFmtId="0" fontId="10" fillId="19" borderId="111" xfId="0" applyFont="1" applyFill="1" applyBorder="1" applyAlignment="1">
      <alignment horizontal="center" vertical="center" textRotation="90"/>
    </xf>
    <xf numFmtId="0" fontId="10" fillId="19" borderId="113" xfId="0" applyFont="1" applyFill="1" applyBorder="1" applyAlignment="1">
      <alignment horizontal="center" vertical="center" textRotation="90"/>
    </xf>
    <xf numFmtId="0" fontId="10" fillId="19" borderId="30" xfId="0" applyFont="1" applyFill="1" applyBorder="1" applyAlignment="1">
      <alignment horizontal="center" vertical="center" textRotation="90"/>
    </xf>
    <xf numFmtId="0" fontId="10" fillId="19" borderId="123" xfId="0" applyFont="1" applyFill="1" applyBorder="1" applyAlignment="1">
      <alignment horizontal="center" vertical="center" textRotation="90"/>
    </xf>
    <xf numFmtId="0" fontId="10" fillId="19" borderId="108" xfId="0" applyFont="1" applyFill="1" applyBorder="1" applyAlignment="1">
      <alignment horizontal="center" vertical="center" textRotation="90"/>
    </xf>
    <xf numFmtId="0" fontId="1" fillId="0" borderId="8" xfId="0" applyFont="1" applyBorder="1" applyAlignment="1">
      <alignment horizontal="center" vertical="center" wrapText="1"/>
    </xf>
    <xf numFmtId="0" fontId="0" fillId="0" borderId="21" xfId="0" applyBorder="1" applyAlignment="1">
      <alignment vertical="center"/>
    </xf>
    <xf numFmtId="0" fontId="0" fillId="0" borderId="11" xfId="0" applyBorder="1" applyAlignment="1">
      <alignment vertical="center"/>
    </xf>
    <xf numFmtId="0" fontId="10" fillId="0" borderId="84" xfId="0" applyFont="1" applyBorder="1" applyAlignment="1"/>
    <xf numFmtId="0" fontId="10" fillId="0" borderId="21" xfId="0" applyFont="1" applyBorder="1" applyAlignment="1"/>
    <xf numFmtId="0" fontId="10" fillId="0" borderId="85" xfId="0" applyFont="1" applyBorder="1" applyAlignment="1"/>
    <xf numFmtId="0" fontId="10" fillId="0" borderId="86" xfId="0" applyFont="1" applyBorder="1" applyAlignment="1"/>
  </cellXfs>
  <cellStyles count="3">
    <cellStyle name="Hyperlink" xfId="2" xr:uid="{00000000-000B-0000-0000-000008000000}"/>
    <cellStyle name="Monétaire" xfId="1" builtinId="4"/>
    <cellStyle name="Normal" xfId="0" builtinId="0"/>
  </cellStyles>
  <dxfs count="97">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right" vertical="center" textRotation="0" wrapText="1" indent="0" justifyLastLine="0" shrinkToFit="0" readingOrder="0"/>
    </dxf>
    <dxf>
      <border outline="0">
        <bottom style="thin">
          <color indexed="64"/>
        </bottom>
      </border>
    </dxf>
    <dxf>
      <border outline="0">
        <top style="thin">
          <color indexed="64"/>
        </top>
      </border>
    </dxf>
    <dxf>
      <alignment horizontal="left" vertical="center" textRotation="0" wrapText="1" indent="0" justifyLastLine="0" shrinkToFit="0" readingOrder="0"/>
    </dxf>
    <dxf>
      <alignment horizontal="left" vertical="center" textRotation="0" wrapText="1" indent="0" justifyLastLine="0" shrinkToFit="0" readingOrder="0"/>
    </dxf>
    <dxf>
      <fill>
        <patternFill>
          <fgColor indexed="64"/>
          <bgColor indexed="65"/>
        </patternFill>
      </fill>
      <alignment horizontal="left" vertical="center" textRotation="0" wrapText="1" indent="0" justifyLastLine="0" shrinkToFit="0" readingOrder="0"/>
      <border outline="0">
        <left style="thin">
          <color indexed="64"/>
        </left>
        <right style="thin">
          <color indexed="64"/>
        </right>
        <top/>
        <bottom/>
      </border>
    </dxf>
    <dxf>
      <font>
        <b/>
        <i val="0"/>
        <color theme="0"/>
      </font>
      <fill>
        <patternFill patternType="solid">
          <fgColor theme="0"/>
          <bgColor theme="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theme="0"/>
      </font>
      <fill>
        <patternFill patternType="solid">
          <fgColor theme="0"/>
          <bgColor theme="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indexed="64"/>
        </right>
        <top style="thin">
          <color indexed="64"/>
        </top>
        <bottom style="thin">
          <color indexed="64"/>
        </bottom>
      </border>
    </dxf>
    <dxf>
      <border outline="0">
        <bottom style="medium">
          <color indexed="64"/>
        </bottom>
      </border>
    </dxf>
    <dxf>
      <border outline="0">
        <right style="medium">
          <color indexed="64"/>
        </right>
        <top style="medium">
          <color indexed="64"/>
        </top>
      </border>
    </dxf>
    <dxf>
      <fill>
        <patternFill patternType="none">
          <fgColor indexed="64"/>
          <bgColor auto="1"/>
        </patternFill>
      </fill>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medium">
          <color rgb="FF000000"/>
        </bottom>
      </border>
    </dxf>
    <dxf>
      <border outline="0">
        <right style="medium">
          <color indexed="64"/>
        </right>
        <top style="medium">
          <color indexed="64"/>
        </top>
        <bottom style="medium">
          <color indexed="64"/>
        </bottom>
      </border>
    </dxf>
    <dxf>
      <numFmt numFmtId="30" formatCode="@"/>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30" formatCode="@"/>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iphaine FOURNIER" id="{E593206B-7D1F-40FE-87DD-8776C2689754}" userId="S::tiphaine.fournier@efrei.net::1e2ba307-46b7-4157-9f32-338b19eab05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58E7F-5404-6749-8A63-1CA8AC7B84F1}" name="disponibilite" displayName="disponibilite" ref="A4:C8" totalsRowShown="0" headerRowDxfId="96" dataDxfId="95" headerRowBorderDxfId="93" tableBorderDxfId="94" totalsRowBorderDxfId="92">
  <autoFilter ref="A4:C8" xr:uid="{A6A58E7F-5404-6749-8A63-1CA8AC7B84F1}">
    <filterColumn colId="0" hiddenButton="1"/>
    <filterColumn colId="1" hiddenButton="1"/>
    <filterColumn colId="2" hiddenButton="1"/>
  </autoFilter>
  <sortState xmlns:xlrd2="http://schemas.microsoft.com/office/spreadsheetml/2017/richdata2" ref="A5:C8">
    <sortCondition ref="A4:A8"/>
  </sortState>
  <tableColumns count="3">
    <tableColumn id="1" xr3:uid="{AA491149-A3BC-8741-AE86-7223F8C7759F}" name="id" dataDxfId="91"/>
    <tableColumn id="2" xr3:uid="{40C53749-17FC-E649-9AB6-94C412E2B6FE}" name="Niveau" dataDxfId="90"/>
    <tableColumn id="3" xr3:uid="{44564C5C-F9D7-D749-8E08-5457B0A26117}" name="Description " dataDxfId="8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D48CC6-0A93-C141-B38E-27CA276F1B7D}" name="integrite" displayName="integrite" ref="A12:C16" totalsRowShown="0" headerRowDxfId="88" dataDxfId="87" headerRowBorderDxfId="85" tableBorderDxfId="86" totalsRowBorderDxfId="84">
  <autoFilter ref="A12:C16" xr:uid="{B8D48CC6-0A93-C141-B38E-27CA276F1B7D}">
    <filterColumn colId="0" hiddenButton="1"/>
    <filterColumn colId="1" hiddenButton="1"/>
    <filterColumn colId="2" hiddenButton="1"/>
  </autoFilter>
  <tableColumns count="3">
    <tableColumn id="1" xr3:uid="{D5E22366-4C7D-4A4C-B897-E0E0413FE1F3}" name="id" dataDxfId="83"/>
    <tableColumn id="2" xr3:uid="{F3F3CEBB-A02A-E248-92F8-1E97A6E163E0}" name="Niveau" dataDxfId="82"/>
    <tableColumn id="3" xr3:uid="{76CB1C84-8F24-E84A-9367-E47D1125C2DD}" name="Description " dataDxfId="8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6AFF2A-5A2E-0F4F-A319-C81CE5E26A35}" name="confidentialite" displayName="confidentialite" ref="A20:C24" totalsRowShown="0" headerRowDxfId="80" dataDxfId="79" headerRowBorderDxfId="77" tableBorderDxfId="78" totalsRowBorderDxfId="76">
  <autoFilter ref="A20:C24" xr:uid="{1F6AFF2A-5A2E-0F4F-A319-C81CE5E26A35}">
    <filterColumn colId="0" hiddenButton="1"/>
    <filterColumn colId="1" hiddenButton="1"/>
    <filterColumn colId="2" hiddenButton="1"/>
  </autoFilter>
  <tableColumns count="3">
    <tableColumn id="1" xr3:uid="{2B243919-7F6E-C343-AD43-82380BFCA9F8}" name="id" dataDxfId="75"/>
    <tableColumn id="2" xr3:uid="{A1C5AAD0-FE25-2847-8525-01E7F3A04CF9}" name="Niveau" dataDxfId="74"/>
    <tableColumn id="3" xr3:uid="{238D862E-7F9D-9C44-931A-BAA65617F62C}" name="Description " dataDxfId="7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A9BC0C-63A3-B24F-AC94-A5FEAE75B40E}" name="gravitee" displayName="gravitee" ref="A28:C32" totalsRowShown="0" headerRowDxfId="72" dataDxfId="71" headerRowBorderDxfId="69" tableBorderDxfId="70" totalsRowBorderDxfId="68">
  <autoFilter ref="A28:C32" xr:uid="{A0A9BC0C-63A3-B24F-AC94-A5FEAE75B40E}">
    <filterColumn colId="0" hiddenButton="1"/>
    <filterColumn colId="1" hiddenButton="1"/>
    <filterColumn colId="2" hiddenButton="1"/>
  </autoFilter>
  <tableColumns count="3">
    <tableColumn id="1" xr3:uid="{62065BD4-6F34-2745-8F34-9911F5D51E11}" name="id" dataDxfId="67"/>
    <tableColumn id="2" xr3:uid="{D9C66DF5-8378-0F4B-AFF9-6473A3A3EB11}" name="Niveau" dataDxfId="66"/>
    <tableColumn id="3" xr3:uid="{3868F6B9-D74C-C449-A1AE-A0F63646F8D3}" name="Description " dataDxfId="6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4C82AC-4D6F-0E43-97DC-526E790B8059}" name="Tableau17mblance" displayName="Tableau17mblance" ref="A36:C40" totalsRowShown="0" headerRowDxfId="64" dataDxfId="63" headerRowBorderDxfId="61" tableBorderDxfId="62" totalsRowBorderDxfId="60">
  <autoFilter ref="A36:C40" xr:uid="{864C82AC-4D6F-0E43-97DC-526E790B8059}">
    <filterColumn colId="0" hiddenButton="1"/>
    <filterColumn colId="1" hiddenButton="1"/>
    <filterColumn colId="2" hiddenButton="1"/>
  </autoFilter>
  <tableColumns count="3">
    <tableColumn id="1" xr3:uid="{D281658B-478A-1946-B784-2BF52C25E04E}" name="id" dataDxfId="59"/>
    <tableColumn id="2" xr3:uid="{29902C6D-A05D-D240-AA4E-37EADB31DFFC}" name="Niveau" dataDxfId="58"/>
    <tableColumn id="3" xr3:uid="{90B5ADE1-4953-B244-BDC7-8E7D9F473C84}" name="Description " dataDxfId="5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1ADA99F-FC49-414E-903C-FCF4EBB8C8B5}" name="Tableau17mblance11" displayName="Tableau17mblance11" ref="A44:C48" totalsRowShown="0" headerRowDxfId="56" dataDxfId="55" headerRowBorderDxfId="53" tableBorderDxfId="54" totalsRowBorderDxfId="52">
  <autoFilter ref="A44:C48" xr:uid="{E1ADA99F-FC49-414E-903C-FCF4EBB8C8B5}"/>
  <tableColumns count="3">
    <tableColumn id="1" xr3:uid="{BC53C03F-8465-4BD7-9F8B-97F7384DB1E4}" name="id" dataDxfId="51"/>
    <tableColumn id="2" xr3:uid="{DA9205BA-BFF0-48DC-92A9-6AEF4D0FFF3D}" name="Niveau" dataDxfId="50"/>
    <tableColumn id="3" xr3:uid="{DFB2C266-0D3E-4719-8FF0-6B41C78FBA29}" name="Description " dataDxfId="4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E28ECC-EFFA-CE4D-9E4E-0F0EDE00D0B5}" name="Event" displayName="Event" ref="D3:K35" totalsRowShown="0" headerRowDxfId="48" dataDxfId="47" headerRowBorderDxfId="45" tableBorderDxfId="46">
  <autoFilter ref="D3:K35" xr:uid="{61E28ECC-EFFA-CE4D-9E4E-0F0EDE00D0B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E80A2C2-E1C8-9245-A0EB-F460535182C7}" name="Evénements redoutés" dataDxfId="44"/>
    <tableColumn id="2" xr3:uid="{046FAF14-C973-BB43-BA71-E3E6E187962B}" name="Besoins de sécurité" dataDxfId="43"/>
    <tableColumn id="3" xr3:uid="{52B2B37E-435B-9448-BB13-FEC2671DFCE5}" name="Source de menace" dataDxfId="42"/>
    <tableColumn id="4" xr3:uid="{CACDEB19-1D39-CB44-A980-B4E41AB5EBAF}" name="Description - Impacts" dataDxfId="41"/>
    <tableColumn id="5" xr3:uid="{D76DE8E0-4D29-0D4F-97A8-948669BE01FB}" name="D" dataDxfId="40"/>
    <tableColumn id="6" xr3:uid="{1BB45BFC-4445-8F4F-AC62-12F8F3CBB437}" name="I" dataDxfId="39"/>
    <tableColumn id="7" xr3:uid="{7C8D0A71-8F15-1843-8578-D61CBCB7A41F}" name="C" dataDxfId="38"/>
    <tableColumn id="8" xr3:uid="{726AC320-2EF4-1F47-8634-992D7305FC54}" name="Gravité" dataDxfId="3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0AF33F-5A87-461E-9EDE-94D681723735}" name="menaces" displayName="menaces" ref="C2:E136" totalsRowShown="0" dataDxfId="36" headerRowBorderDxfId="34" tableBorderDxfId="35">
  <autoFilter ref="C2:E136" xr:uid="{BD0AF33F-5A87-461E-9EDE-94D681723735}"/>
  <tableColumns count="3">
    <tableColumn id="1" xr3:uid="{8A60D8F7-C559-4AC3-8A5E-DA7C6361A46D}" name="Scénarios de menaces " dataDxfId="33"/>
    <tableColumn id="2" xr3:uid="{7369605C-533B-4D2A-8921-5974DA11A5DE}" name="Sources de menaces" dataDxfId="32"/>
    <tableColumn id="3" xr3:uid="{01B6899F-9E10-4C76-A84E-930099C5FEDE}" name="Vraisemblance" dataDxfId="3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A0073E-DF2D-4DC2-8622-FE21046A15EF}" name="risques9" displayName="risques9" ref="A2:R136" headerRowDxfId="22" dataDxfId="21" totalsRowDxfId="20" headerRowBorderDxfId="18" tableBorderDxfId="19">
  <autoFilter ref="A2:R136" xr:uid="{36A0073E-DF2D-4DC2-8622-FE21046A15EF}"/>
  <tableColumns count="18">
    <tableColumn id="14" xr3:uid="{81183A63-3CF2-41D1-B0C1-4EDA7AFA5123}" name="ID" dataDxfId="17">
      <calculatedColumnFormula array="1">"R" &amp; ROW(#REF!) - 2</calculatedColumnFormula>
    </tableColumn>
    <tableColumn id="1" xr3:uid="{BB3DB752-9B6C-4136-B7F2-BB8EBCCDAC73}" name="Evénements redoutés" totalsRowLabel="Total" dataDxfId="16"/>
    <tableColumn id="2" xr3:uid="{CAADFD45-9E57-424D-83B1-89BA63FDEE77}" name="Besoins de sécurité" dataDxfId="15">
      <calculatedColumnFormula>_xlfn.XLOOKUP(#REF!,#REF!,#REF!)</calculatedColumnFormula>
    </tableColumn>
    <tableColumn id="3" xr3:uid="{40ADAA60-7D6A-4132-BFD5-8CF7B9A6AC5F}" name="Source du risque" dataDxfId="14">
      <calculatedColumnFormula>_xlfn.XLOOKUP(#REF!,#REF!,#REF!)</calculatedColumnFormula>
    </tableColumn>
    <tableColumn id="4" xr3:uid="{810A9E3D-EE25-43FA-9667-AF6542007FEE}" name="Impacts" dataDxfId="13">
      <calculatedColumnFormula>_xlfn.XLOOKUP(#REF!,#REF!,#REF!)</calculatedColumnFormula>
    </tableColumn>
    <tableColumn id="5" xr3:uid="{12B4C462-4844-4AAF-A332-357347D7AC84}" name="Gravité" dataDxfId="12">
      <calculatedColumnFormula>_xlfn.XLOOKUP(#REF!,#REF!,#REF!)</calculatedColumnFormula>
    </tableColumn>
    <tableColumn id="6" xr3:uid="{D0DBE337-1EFA-412B-BD76-A82DA095DE2D}" name="Scénario de menace" dataDxfId="11">
      <calculatedColumnFormula>menaces[[#This Row],[Scénarios de menaces ]]</calculatedColumnFormula>
    </tableColumn>
    <tableColumn id="7" xr3:uid="{8FEB9CAC-8D6B-4AAF-BDB2-132736A5CF05}" name="Source de menace" dataDxfId="10">
      <calculatedColumnFormula>menaces[[#This Row],[Sources de menaces]]</calculatedColumnFormula>
    </tableColumn>
    <tableColumn id="8" xr3:uid="{4A071DED-83B7-458B-B93A-BD58D6EAE494}" name="Vraisemblance" dataDxfId="9">
      <calculatedColumnFormula>_xlfn.XLOOKUP(#REF!,#REF!,#REF!)</calculatedColumnFormula>
    </tableColumn>
    <tableColumn id="9" xr3:uid="{21055219-E2B1-4F17-99ED-66F4EE786C22}" name="Mesure de sécurité existante" dataDxfId="8"/>
    <tableColumn id="10" xr3:uid="{70D6130F-9200-43D0-840C-5D1A926F6E01}" name="Bien support " dataDxfId="7">
      <calculatedColumnFormula>_xlfn.XLOOKUP(#REF!,#REF!,#REF!, "-")</calculatedColumnFormula>
    </tableColumn>
    <tableColumn id="11" xr3:uid="{61BF45B7-BE1B-4BF7-B18E-946EBBFDDBF7}" name="Prévention" dataDxfId="6">
      <calculatedColumnFormula>IF(_xlfn.XLOOKUP(#REF!,#REF!,#REF!, "-") = "x", "x", "-")</calculatedColumnFormula>
    </tableColumn>
    <tableColumn id="12" xr3:uid="{B72F8B51-76C5-445F-8C05-142BD2D150A6}" name="Protection" dataDxfId="5">
      <calculatedColumnFormula>IF(_xlfn.XLOOKUP(#REF!,#REF!,#REF!, "-") = "x", "x", "-")</calculatedColumnFormula>
    </tableColumn>
    <tableColumn id="13" xr3:uid="{FC2B64B8-CA82-4377-AD97-DE0C6794817E}" name="Récupération" totalsRowFunction="count" dataDxfId="4">
      <calculatedColumnFormula>IF(_xlfn.XLOOKUP(#REF!,#REF!,#REF!, "-") = "x", "x", "-")</calculatedColumnFormula>
    </tableColumn>
    <tableColumn id="15" xr3:uid="{DB0A1914-E2CF-4488-9336-37DAD79F2333}" name="Réévaluation de l'impact" dataDxfId="3"/>
    <tableColumn id="16" xr3:uid="{42449F20-B1A9-408D-A953-4FE88A1BB062}" name="Réévaluation de la vraisemblance" dataDxfId="2"/>
    <tableColumn id="17" xr3:uid="{6A42AF9D-8615-475D-BCCC-822B09345769}" name="Mesure de détection existante" dataDxfId="1"/>
    <tableColumn id="18" xr3:uid="{382B042F-13B9-4B6C-92AE-03128373ABEE}" name="Capacité en mesure de détection"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6-05-14T16:19:34.14" personId="{E593206B-7D1F-40FE-87DD-8776C2689754}" id="{811DCEB5-5CCB-4F3F-B42B-EA5D73D3E2FF}">
    <text>Hacker = crime organisé, activiste idéologique, officine spécialisée, amateur, vengeur, potentiellement malveillant pathologique</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7.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attack.mitre.org/techniques/enterprise/"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5AEF-B3DC-204C-849F-46A1E966B9D1}">
  <sheetPr codeName="Feuil2">
    <tabColor theme="4" tint="0.79998168889431442"/>
  </sheetPr>
  <dimension ref="A1:J70"/>
  <sheetViews>
    <sheetView showGridLines="0" topLeftCell="A37" zoomScale="55" zoomScaleNormal="100" workbookViewId="0">
      <selection activeCell="D74" sqref="D74"/>
    </sheetView>
  </sheetViews>
  <sheetFormatPr defaultColWidth="11.42578125" defaultRowHeight="14.45"/>
  <cols>
    <col min="1" max="1" width="22.85546875" customWidth="1"/>
    <col min="2" max="2" width="17.85546875" bestFit="1" customWidth="1"/>
    <col min="3" max="3" width="42.85546875" customWidth="1"/>
    <col min="4" max="4" width="54.85546875" customWidth="1"/>
    <col min="5" max="5" width="65.5703125" customWidth="1"/>
    <col min="6" max="6" width="43" customWidth="1"/>
    <col min="7" max="8" width="36.42578125" bestFit="1" customWidth="1"/>
    <col min="9" max="9" width="32.85546875" bestFit="1" customWidth="1"/>
  </cols>
  <sheetData>
    <row r="1" spans="1:10">
      <c r="A1" s="50"/>
      <c r="B1" s="50"/>
      <c r="C1" s="50"/>
      <c r="D1" s="50"/>
      <c r="E1" s="50"/>
      <c r="F1" s="50"/>
      <c r="G1" s="50"/>
      <c r="H1" s="50"/>
      <c r="I1" s="50"/>
      <c r="J1" s="50"/>
    </row>
    <row r="2" spans="1:10">
      <c r="A2" s="50"/>
      <c r="B2" s="50"/>
      <c r="C2" s="50"/>
      <c r="D2" s="50"/>
      <c r="E2" s="50"/>
      <c r="F2" s="50"/>
      <c r="G2" s="50"/>
      <c r="H2" s="50"/>
      <c r="I2" s="50"/>
      <c r="J2" s="50"/>
    </row>
    <row r="3" spans="1:10">
      <c r="A3" s="50"/>
      <c r="B3" s="50"/>
      <c r="C3" s="50"/>
      <c r="D3" s="50"/>
      <c r="E3" s="50"/>
      <c r="F3" s="50"/>
      <c r="G3" s="50"/>
      <c r="H3" s="50"/>
      <c r="I3" s="50"/>
      <c r="J3" s="50"/>
    </row>
    <row r="4" spans="1:10">
      <c r="A4" s="50"/>
      <c r="B4" s="50"/>
      <c r="C4" s="50"/>
      <c r="D4" s="50"/>
      <c r="E4" s="50"/>
      <c r="F4" s="50"/>
      <c r="G4" s="50"/>
      <c r="H4" s="50"/>
      <c r="I4" s="50"/>
      <c r="J4" s="50"/>
    </row>
    <row r="5" spans="1:10">
      <c r="A5" s="50"/>
      <c r="B5" s="50"/>
      <c r="C5" s="50"/>
      <c r="D5" s="50"/>
      <c r="E5" s="50"/>
      <c r="F5" s="50"/>
      <c r="G5" s="50"/>
      <c r="H5" s="50"/>
      <c r="I5" s="50"/>
      <c r="J5" s="50"/>
    </row>
    <row r="6" spans="1:10">
      <c r="A6" s="50"/>
      <c r="B6" s="50"/>
      <c r="C6" s="50"/>
      <c r="D6" s="50"/>
      <c r="E6" s="50"/>
      <c r="F6" s="50"/>
      <c r="G6" s="50"/>
      <c r="H6" s="50"/>
      <c r="I6" s="50"/>
      <c r="J6" s="50"/>
    </row>
    <row r="7" spans="1:10">
      <c r="A7" s="50"/>
      <c r="B7" s="50"/>
      <c r="C7" s="57" t="s">
        <v>0</v>
      </c>
      <c r="D7" s="58" t="s">
        <v>1</v>
      </c>
      <c r="E7" s="58" t="s">
        <v>2</v>
      </c>
      <c r="F7" s="58" t="s">
        <v>3</v>
      </c>
      <c r="G7" s="50"/>
      <c r="H7" s="50"/>
      <c r="I7" s="50"/>
      <c r="J7" s="50"/>
    </row>
    <row r="8" spans="1:10">
      <c r="A8" s="50"/>
      <c r="B8" s="356" t="s">
        <v>4</v>
      </c>
      <c r="C8" s="358" t="s">
        <v>5</v>
      </c>
      <c r="D8" s="116" t="s">
        <v>6</v>
      </c>
      <c r="E8" s="112" t="s">
        <v>7</v>
      </c>
      <c r="F8" s="113" t="s">
        <v>8</v>
      </c>
      <c r="G8" s="50"/>
      <c r="H8" s="50"/>
      <c r="I8" s="50"/>
      <c r="J8" s="50"/>
    </row>
    <row r="9" spans="1:10">
      <c r="A9" s="50"/>
      <c r="B9" s="357"/>
      <c r="C9" s="358"/>
      <c r="D9" s="117" t="s">
        <v>9</v>
      </c>
      <c r="E9" s="111" t="s">
        <v>10</v>
      </c>
      <c r="F9" s="115" t="s">
        <v>11</v>
      </c>
      <c r="G9" s="50"/>
      <c r="H9" s="50"/>
      <c r="I9" s="50"/>
      <c r="J9" s="50"/>
    </row>
    <row r="10" spans="1:10">
      <c r="A10" s="50"/>
      <c r="B10" s="357"/>
      <c r="C10" s="358"/>
      <c r="D10" s="117" t="s">
        <v>12</v>
      </c>
      <c r="E10" s="111" t="s">
        <v>13</v>
      </c>
      <c r="F10" s="115" t="s">
        <v>14</v>
      </c>
      <c r="G10" s="50"/>
      <c r="H10" s="50"/>
      <c r="I10" s="50"/>
      <c r="J10" s="50"/>
    </row>
    <row r="11" spans="1:10">
      <c r="A11" s="50"/>
      <c r="B11" s="357"/>
      <c r="C11" s="358"/>
      <c r="D11" s="118" t="s">
        <v>15</v>
      </c>
      <c r="E11" s="111"/>
      <c r="F11" s="115" t="s">
        <v>16</v>
      </c>
      <c r="G11" s="50"/>
      <c r="H11" s="50"/>
      <c r="I11" s="50"/>
      <c r="J11" s="50"/>
    </row>
    <row r="12" spans="1:10">
      <c r="A12" s="50"/>
      <c r="B12" s="357"/>
      <c r="C12" s="358"/>
      <c r="D12" s="117" t="s">
        <v>17</v>
      </c>
      <c r="E12" s="111" t="s">
        <v>18</v>
      </c>
      <c r="F12" s="115" t="s">
        <v>19</v>
      </c>
      <c r="G12" s="50"/>
      <c r="H12" s="50"/>
      <c r="I12" s="50"/>
      <c r="J12" s="50"/>
    </row>
    <row r="13" spans="1:10">
      <c r="A13" s="50"/>
      <c r="B13" s="357"/>
      <c r="C13" s="358"/>
      <c r="D13" s="117" t="s">
        <v>20</v>
      </c>
      <c r="E13" s="111" t="s">
        <v>21</v>
      </c>
      <c r="F13" s="115" t="s">
        <v>22</v>
      </c>
      <c r="G13" s="50"/>
      <c r="H13" s="50"/>
      <c r="I13" s="50"/>
      <c r="J13" s="50"/>
    </row>
    <row r="14" spans="1:10">
      <c r="A14" s="50"/>
      <c r="B14" s="357"/>
      <c r="C14" s="358"/>
      <c r="D14" s="117" t="s">
        <v>23</v>
      </c>
      <c r="E14" s="111" t="s">
        <v>24</v>
      </c>
      <c r="F14" s="115"/>
      <c r="G14" s="50"/>
      <c r="H14" s="50"/>
      <c r="I14" s="50"/>
      <c r="J14" s="50"/>
    </row>
    <row r="15" spans="1:10">
      <c r="A15" s="50"/>
      <c r="B15" s="357"/>
      <c r="C15" s="358"/>
      <c r="D15" s="117" t="s">
        <v>25</v>
      </c>
      <c r="E15" s="111" t="s">
        <v>21</v>
      </c>
      <c r="F15" s="115" t="s">
        <v>26</v>
      </c>
      <c r="G15" s="50"/>
      <c r="H15" s="50"/>
      <c r="I15" s="50"/>
      <c r="J15" s="50"/>
    </row>
    <row r="16" spans="1:10">
      <c r="A16" s="50"/>
      <c r="B16" s="357"/>
      <c r="C16" s="358"/>
      <c r="D16" s="117" t="s">
        <v>27</v>
      </c>
      <c r="E16" s="111" t="s">
        <v>27</v>
      </c>
      <c r="F16" s="115"/>
      <c r="G16" s="50"/>
      <c r="H16" s="50"/>
      <c r="I16" s="50"/>
      <c r="J16" s="50"/>
    </row>
    <row r="17" spans="1:10">
      <c r="A17" s="50"/>
      <c r="B17" s="357"/>
      <c r="C17" s="358"/>
      <c r="D17" s="274" t="s">
        <v>28</v>
      </c>
      <c r="E17" s="272" t="s">
        <v>7</v>
      </c>
      <c r="F17" s="275"/>
      <c r="G17" s="50"/>
      <c r="H17" s="50"/>
      <c r="I17" s="50"/>
      <c r="J17" s="50"/>
    </row>
    <row r="18" spans="1:10">
      <c r="A18" s="50"/>
      <c r="B18" s="357"/>
      <c r="C18" s="358"/>
      <c r="D18" s="274" t="s">
        <v>29</v>
      </c>
      <c r="E18" s="272" t="s">
        <v>7</v>
      </c>
      <c r="F18" s="275"/>
      <c r="G18" s="50"/>
      <c r="H18" s="50"/>
      <c r="I18" s="50"/>
      <c r="J18" s="50"/>
    </row>
    <row r="19" spans="1:10">
      <c r="A19" s="50"/>
      <c r="B19" s="357"/>
      <c r="C19" s="358"/>
      <c r="D19" s="274" t="s">
        <v>30</v>
      </c>
      <c r="E19" s="272" t="s">
        <v>7</v>
      </c>
      <c r="F19" s="275" t="s">
        <v>31</v>
      </c>
      <c r="G19" s="50"/>
      <c r="H19" s="50"/>
      <c r="I19" s="50"/>
      <c r="J19" s="50"/>
    </row>
    <row r="20" spans="1:10">
      <c r="A20" s="50"/>
      <c r="B20" s="357"/>
      <c r="C20" s="358"/>
      <c r="D20" s="274" t="s">
        <v>32</v>
      </c>
      <c r="E20" s="272" t="s">
        <v>7</v>
      </c>
      <c r="F20" s="275"/>
      <c r="G20" s="50"/>
      <c r="H20" s="50"/>
      <c r="I20" s="50"/>
      <c r="J20" s="50"/>
    </row>
    <row r="21" spans="1:10">
      <c r="A21" s="50"/>
      <c r="B21" s="357"/>
      <c r="C21" s="358"/>
      <c r="D21" s="274" t="s">
        <v>33</v>
      </c>
      <c r="E21" s="272" t="s">
        <v>7</v>
      </c>
      <c r="F21" s="275" t="s">
        <v>34</v>
      </c>
      <c r="G21" s="50"/>
      <c r="H21" s="50"/>
      <c r="I21" s="50"/>
      <c r="J21" s="50"/>
    </row>
    <row r="22" spans="1:10">
      <c r="A22" s="50"/>
      <c r="B22" s="357"/>
      <c r="C22" s="358"/>
      <c r="D22" s="274" t="s">
        <v>35</v>
      </c>
      <c r="E22" s="272" t="s">
        <v>7</v>
      </c>
      <c r="F22" s="275" t="s">
        <v>36</v>
      </c>
      <c r="G22" s="50"/>
      <c r="H22" s="50"/>
      <c r="I22" s="50"/>
      <c r="J22" s="50"/>
    </row>
    <row r="23" spans="1:10">
      <c r="A23" s="50"/>
      <c r="B23" s="357"/>
      <c r="C23" s="358"/>
      <c r="D23" s="274" t="s">
        <v>37</v>
      </c>
      <c r="E23" s="272" t="s">
        <v>7</v>
      </c>
      <c r="F23" s="275" t="s">
        <v>38</v>
      </c>
      <c r="G23" s="50"/>
      <c r="H23" s="50"/>
      <c r="I23" s="50"/>
      <c r="J23" s="50"/>
    </row>
    <row r="24" spans="1:10">
      <c r="A24" s="50"/>
      <c r="B24" s="357"/>
      <c r="C24" s="358"/>
      <c r="D24" s="274" t="s">
        <v>39</v>
      </c>
      <c r="E24" s="272" t="s">
        <v>7</v>
      </c>
      <c r="F24" s="275" t="s">
        <v>38</v>
      </c>
      <c r="G24" s="50"/>
      <c r="H24" s="50"/>
      <c r="I24" s="50"/>
      <c r="J24" s="50"/>
    </row>
    <row r="25" spans="1:10">
      <c r="A25" s="50"/>
      <c r="B25" s="357"/>
      <c r="C25" s="358"/>
      <c r="D25" s="274" t="s">
        <v>40</v>
      </c>
      <c r="E25" s="272" t="s">
        <v>7</v>
      </c>
      <c r="F25" s="275"/>
      <c r="G25" s="50"/>
      <c r="H25" s="50"/>
      <c r="I25" s="50"/>
      <c r="J25" s="50"/>
    </row>
    <row r="26" spans="1:10">
      <c r="A26" s="50"/>
      <c r="B26" s="357"/>
      <c r="C26" s="358"/>
      <c r="D26" s="297" t="s">
        <v>41</v>
      </c>
      <c r="E26" s="298" t="s">
        <v>7</v>
      </c>
      <c r="F26" s="273" t="s">
        <v>42</v>
      </c>
      <c r="G26" s="50"/>
      <c r="H26" s="50"/>
      <c r="I26" s="50"/>
      <c r="J26" s="50"/>
    </row>
    <row r="27" spans="1:10">
      <c r="A27" s="50"/>
      <c r="B27" s="359" t="s">
        <v>43</v>
      </c>
      <c r="C27" s="362" t="s">
        <v>44</v>
      </c>
      <c r="D27" s="293" t="s">
        <v>45</v>
      </c>
      <c r="E27" s="112" t="s">
        <v>21</v>
      </c>
      <c r="F27" s="113" t="s">
        <v>46</v>
      </c>
      <c r="G27" s="50"/>
      <c r="H27" s="50"/>
      <c r="I27" s="50"/>
      <c r="J27" s="50"/>
    </row>
    <row r="28" spans="1:10">
      <c r="A28" s="50"/>
      <c r="B28" s="360"/>
      <c r="C28" s="358"/>
      <c r="D28" s="114" t="s">
        <v>47</v>
      </c>
      <c r="E28" s="111"/>
      <c r="F28" s="115"/>
      <c r="G28" s="50"/>
      <c r="H28" s="50"/>
      <c r="I28" s="50"/>
      <c r="J28" s="50"/>
    </row>
    <row r="29" spans="1:10" ht="43.15">
      <c r="A29" s="50"/>
      <c r="B29" s="361"/>
      <c r="C29" s="363"/>
      <c r="D29" s="294" t="s">
        <v>48</v>
      </c>
      <c r="E29" s="295" t="s">
        <v>49</v>
      </c>
      <c r="F29" s="296" t="s">
        <v>50</v>
      </c>
      <c r="G29" s="50"/>
      <c r="H29" s="50"/>
      <c r="I29" s="50"/>
      <c r="J29" s="50"/>
    </row>
    <row r="30" spans="1:10">
      <c r="A30" s="50"/>
      <c r="B30" s="50"/>
      <c r="C30" s="50"/>
      <c r="D30" s="50"/>
      <c r="E30" s="50"/>
      <c r="F30" s="50"/>
      <c r="G30" s="50"/>
      <c r="H30" s="50"/>
      <c r="I30" s="50"/>
      <c r="J30" s="50"/>
    </row>
    <row r="31" spans="1:10">
      <c r="A31" s="50"/>
      <c r="B31" s="50"/>
      <c r="C31" s="50"/>
      <c r="D31" s="50"/>
      <c r="E31" s="50"/>
      <c r="F31" s="50"/>
      <c r="G31" s="50"/>
      <c r="H31" s="50"/>
      <c r="I31" s="50"/>
      <c r="J31" s="50"/>
    </row>
    <row r="32" spans="1:10">
      <c r="A32" s="50"/>
      <c r="B32" s="50"/>
      <c r="C32" s="50"/>
      <c r="D32" s="50"/>
      <c r="E32" s="50"/>
      <c r="F32" s="50"/>
      <c r="G32" s="50"/>
      <c r="H32" s="50"/>
      <c r="I32" s="50"/>
      <c r="J32" s="50"/>
    </row>
    <row r="33" spans="1:10" ht="14.45" customHeight="1">
      <c r="A33" s="50"/>
      <c r="B33" s="50"/>
      <c r="C33" s="50"/>
      <c r="D33" s="50"/>
      <c r="E33" s="50"/>
      <c r="F33" s="50"/>
      <c r="G33" s="50"/>
      <c r="H33" s="50"/>
      <c r="I33" s="50"/>
      <c r="J33" s="50"/>
    </row>
    <row r="34" spans="1:10" ht="14.45" customHeight="1">
      <c r="A34" s="50"/>
      <c r="B34" s="129" t="s">
        <v>51</v>
      </c>
      <c r="C34" s="130"/>
      <c r="D34" s="131" t="s">
        <v>52</v>
      </c>
      <c r="E34" s="120"/>
      <c r="F34" s="50"/>
      <c r="G34" s="50"/>
      <c r="H34" s="50"/>
      <c r="I34" s="50"/>
      <c r="J34" s="50"/>
    </row>
    <row r="35" spans="1:10" ht="14.45" customHeight="1">
      <c r="A35" s="50"/>
      <c r="B35" s="124" t="s">
        <v>53</v>
      </c>
      <c r="C35" s="125"/>
      <c r="D35" s="122" t="s">
        <v>54</v>
      </c>
      <c r="E35" s="50"/>
      <c r="F35" s="50"/>
      <c r="G35" s="50"/>
      <c r="H35" s="50"/>
      <c r="I35" s="50"/>
      <c r="J35" s="50"/>
    </row>
    <row r="36" spans="1:10">
      <c r="A36" s="50"/>
      <c r="B36" s="126" t="s">
        <v>55</v>
      </c>
      <c r="C36" s="119"/>
      <c r="D36" s="127" t="s">
        <v>56</v>
      </c>
      <c r="E36" s="50"/>
      <c r="F36" s="50"/>
      <c r="G36" s="48"/>
      <c r="H36" s="49"/>
      <c r="I36" s="50"/>
      <c r="J36" s="50"/>
    </row>
    <row r="37" spans="1:10">
      <c r="A37" s="50"/>
      <c r="B37" s="126" t="s">
        <v>57</v>
      </c>
      <c r="C37" s="119"/>
      <c r="D37" s="127" t="s">
        <v>58</v>
      </c>
      <c r="E37" s="50"/>
      <c r="F37" s="50"/>
      <c r="G37" s="51"/>
      <c r="H37" s="50"/>
      <c r="I37" s="50"/>
      <c r="J37" s="50"/>
    </row>
    <row r="38" spans="1:10">
      <c r="A38" s="50"/>
      <c r="B38" s="126" t="s">
        <v>59</v>
      </c>
      <c r="C38" s="119"/>
      <c r="D38" s="127" t="s">
        <v>60</v>
      </c>
      <c r="E38" s="50"/>
      <c r="F38" s="50"/>
      <c r="G38" s="50"/>
      <c r="H38" s="50"/>
      <c r="I38" s="50"/>
      <c r="J38" s="50"/>
    </row>
    <row r="39" spans="1:10" ht="14.45" customHeight="1">
      <c r="A39" s="50"/>
      <c r="B39" s="126" t="s">
        <v>61</v>
      </c>
      <c r="C39" s="119"/>
      <c r="D39" s="127" t="s">
        <v>62</v>
      </c>
      <c r="E39" s="50"/>
      <c r="F39" s="50"/>
      <c r="G39" s="50"/>
      <c r="H39" s="50"/>
      <c r="I39" s="50"/>
      <c r="J39" s="50"/>
    </row>
    <row r="40" spans="1:10" ht="14.45" customHeight="1">
      <c r="A40" s="50"/>
      <c r="B40" s="126" t="s">
        <v>63</v>
      </c>
      <c r="C40" s="119"/>
      <c r="D40" s="127" t="s">
        <v>64</v>
      </c>
      <c r="E40" s="50"/>
      <c r="F40" s="48"/>
      <c r="G40" s="50"/>
      <c r="H40" s="50"/>
      <c r="I40" s="50"/>
      <c r="J40" s="50"/>
    </row>
    <row r="41" spans="1:10" ht="14.45" customHeight="1">
      <c r="A41" s="50"/>
      <c r="B41" s="126" t="s">
        <v>65</v>
      </c>
      <c r="C41" s="119"/>
      <c r="D41" s="127" t="s">
        <v>66</v>
      </c>
      <c r="E41" s="50"/>
      <c r="F41" s="51"/>
      <c r="G41" s="50"/>
      <c r="H41" s="50"/>
      <c r="I41" s="50"/>
      <c r="J41" s="50"/>
    </row>
    <row r="42" spans="1:10" ht="14.45" customHeight="1">
      <c r="A42" s="50"/>
      <c r="B42" s="429" t="s">
        <v>67</v>
      </c>
      <c r="C42" s="430"/>
      <c r="D42" s="127" t="s">
        <v>68</v>
      </c>
      <c r="E42" s="50"/>
      <c r="F42" s="50"/>
      <c r="G42" s="50"/>
      <c r="H42" s="50"/>
      <c r="I42" s="50"/>
      <c r="J42" s="50"/>
    </row>
    <row r="43" spans="1:10" ht="14.45" customHeight="1">
      <c r="A43" s="50"/>
      <c r="B43" s="429" t="s">
        <v>69</v>
      </c>
      <c r="C43" s="430"/>
      <c r="D43" s="127" t="s">
        <v>70</v>
      </c>
      <c r="E43" s="50"/>
      <c r="F43" s="50"/>
      <c r="G43" s="50"/>
      <c r="H43" s="50"/>
      <c r="I43" s="50"/>
      <c r="J43" s="50"/>
    </row>
    <row r="44" spans="1:10" ht="14.45" customHeight="1">
      <c r="A44" s="50"/>
      <c r="B44" s="429" t="s">
        <v>71</v>
      </c>
      <c r="C44" s="430"/>
      <c r="D44" s="127" t="s">
        <v>72</v>
      </c>
      <c r="E44" s="50"/>
      <c r="F44" s="50"/>
      <c r="G44" s="50"/>
      <c r="H44" s="50"/>
      <c r="I44" s="50"/>
      <c r="J44" s="50"/>
    </row>
    <row r="45" spans="1:10">
      <c r="A45" s="50"/>
      <c r="B45" s="429" t="s">
        <v>73</v>
      </c>
      <c r="C45" s="430"/>
      <c r="D45" s="128" t="s">
        <v>74</v>
      </c>
      <c r="F45" s="50"/>
      <c r="G45" s="50"/>
      <c r="H45" s="50"/>
      <c r="I45" s="50"/>
      <c r="J45" s="50"/>
    </row>
    <row r="46" spans="1:10">
      <c r="A46" s="50"/>
      <c r="B46" s="429" t="s">
        <v>75</v>
      </c>
      <c r="C46" s="430"/>
      <c r="D46" s="128" t="s">
        <v>76</v>
      </c>
      <c r="F46" s="50"/>
      <c r="G46" s="50"/>
      <c r="H46" s="50"/>
      <c r="I46" s="50"/>
      <c r="J46" s="50"/>
    </row>
    <row r="47" spans="1:10">
      <c r="A47" s="50"/>
      <c r="B47" s="429" t="s">
        <v>77</v>
      </c>
      <c r="C47" s="430"/>
      <c r="D47" s="128" t="s">
        <v>78</v>
      </c>
      <c r="F47" s="50"/>
      <c r="G47" s="50"/>
      <c r="H47" s="48"/>
      <c r="I47" s="49"/>
      <c r="J47" s="50"/>
    </row>
    <row r="48" spans="1:10">
      <c r="A48" s="50"/>
      <c r="B48" s="431" t="s">
        <v>79</v>
      </c>
      <c r="C48" s="432"/>
      <c r="D48" s="123" t="s">
        <v>80</v>
      </c>
      <c r="E48" s="50"/>
      <c r="F48" s="50"/>
      <c r="G48" s="50"/>
      <c r="H48" s="51"/>
      <c r="I48" s="50"/>
      <c r="J48" s="50"/>
    </row>
    <row r="49" spans="1:10">
      <c r="A49" s="50"/>
      <c r="B49" s="50"/>
      <c r="C49" s="50"/>
      <c r="D49" s="50"/>
      <c r="E49" s="50"/>
      <c r="F49" s="50"/>
      <c r="G49" s="50"/>
      <c r="H49" s="51"/>
      <c r="I49" s="50"/>
      <c r="J49" s="50"/>
    </row>
    <row r="50" spans="1:10">
      <c r="A50" s="50"/>
      <c r="B50" s="59" t="s">
        <v>81</v>
      </c>
      <c r="C50" s="142" t="s">
        <v>82</v>
      </c>
      <c r="D50" s="143" t="s">
        <v>83</v>
      </c>
      <c r="E50" s="50"/>
      <c r="F50" s="50"/>
      <c r="G50" s="50"/>
      <c r="H50" s="51"/>
      <c r="I50" s="50"/>
      <c r="J50" s="50"/>
    </row>
    <row r="51" spans="1:10">
      <c r="A51" s="50"/>
      <c r="B51" s="370" t="s">
        <v>4</v>
      </c>
      <c r="C51" s="372" t="s">
        <v>84</v>
      </c>
      <c r="D51" s="139" t="s">
        <v>85</v>
      </c>
      <c r="E51" s="50"/>
      <c r="F51" s="50"/>
      <c r="G51" s="50"/>
      <c r="H51" s="51"/>
      <c r="I51" s="50"/>
      <c r="J51" s="50"/>
    </row>
    <row r="52" spans="1:10">
      <c r="A52" s="50"/>
      <c r="B52" s="371"/>
      <c r="C52" s="373"/>
      <c r="D52" s="140" t="s">
        <v>86</v>
      </c>
      <c r="E52" s="50"/>
      <c r="F52" s="50"/>
      <c r="G52" s="50"/>
      <c r="H52" s="51"/>
      <c r="I52" s="50"/>
      <c r="J52" s="50"/>
    </row>
    <row r="53" spans="1:10">
      <c r="A53" s="50"/>
      <c r="B53" s="371"/>
      <c r="C53" s="374" t="s">
        <v>87</v>
      </c>
      <c r="D53" s="141" t="s">
        <v>88</v>
      </c>
      <c r="E53" s="50"/>
      <c r="F53" s="51"/>
      <c r="G53" s="50"/>
      <c r="H53" s="50"/>
      <c r="I53" s="50"/>
      <c r="J53" s="50"/>
    </row>
    <row r="54" spans="1:10">
      <c r="A54" s="50"/>
      <c r="B54" s="371"/>
      <c r="C54" s="374"/>
      <c r="D54" s="141" t="s">
        <v>89</v>
      </c>
      <c r="E54" s="50"/>
      <c r="F54" s="51"/>
      <c r="G54" s="50"/>
      <c r="H54" s="50"/>
      <c r="I54" s="50"/>
      <c r="J54" s="50"/>
    </row>
    <row r="55" spans="1:10">
      <c r="A55" s="50"/>
      <c r="B55" s="371"/>
      <c r="C55" s="374"/>
      <c r="D55" s="141" t="s">
        <v>90</v>
      </c>
      <c r="E55" s="50"/>
      <c r="F55" s="51"/>
      <c r="G55" s="50"/>
      <c r="H55" s="50"/>
      <c r="I55" s="50"/>
      <c r="J55" s="50"/>
    </row>
    <row r="56" spans="1:10" ht="28.9">
      <c r="A56" s="50"/>
      <c r="B56" s="371"/>
      <c r="C56" s="373"/>
      <c r="D56" s="115" t="s">
        <v>91</v>
      </c>
      <c r="E56" s="50"/>
      <c r="F56" s="50"/>
      <c r="G56" s="50"/>
      <c r="H56" s="50"/>
      <c r="I56" s="50"/>
      <c r="J56" s="50"/>
    </row>
    <row r="57" spans="1:10">
      <c r="A57" s="50"/>
      <c r="B57" s="371"/>
      <c r="C57" s="170" t="s">
        <v>92</v>
      </c>
      <c r="D57" s="141" t="s">
        <v>93</v>
      </c>
      <c r="E57" s="50"/>
      <c r="F57" s="50"/>
      <c r="G57" s="50"/>
      <c r="H57" s="50"/>
      <c r="I57" s="50"/>
      <c r="J57" s="50"/>
    </row>
    <row r="58" spans="1:10">
      <c r="A58" s="50"/>
      <c r="B58" s="371"/>
      <c r="C58" s="375" t="s">
        <v>94</v>
      </c>
      <c r="D58" s="141" t="s">
        <v>95</v>
      </c>
      <c r="E58" s="50"/>
      <c r="F58" s="50"/>
      <c r="G58" s="50"/>
      <c r="H58" s="50"/>
      <c r="I58" s="50"/>
      <c r="J58" s="50"/>
    </row>
    <row r="59" spans="1:10">
      <c r="A59" s="50"/>
      <c r="B59" s="371"/>
      <c r="C59" s="375"/>
      <c r="D59" s="141" t="s">
        <v>96</v>
      </c>
      <c r="E59" s="50"/>
      <c r="F59" s="50"/>
      <c r="G59" s="50"/>
      <c r="H59" s="50"/>
      <c r="I59" s="50"/>
      <c r="J59" s="50"/>
    </row>
    <row r="60" spans="1:10">
      <c r="A60" s="50"/>
      <c r="B60" s="371"/>
      <c r="C60" s="374" t="s">
        <v>97</v>
      </c>
      <c r="D60" s="141" t="s">
        <v>98</v>
      </c>
      <c r="E60" s="50"/>
      <c r="F60" s="50"/>
      <c r="G60" s="50"/>
      <c r="H60" s="50"/>
      <c r="I60" s="50"/>
      <c r="J60" s="50"/>
    </row>
    <row r="61" spans="1:10">
      <c r="A61" s="50"/>
      <c r="B61" s="371"/>
      <c r="C61" s="373"/>
      <c r="D61" s="141" t="s">
        <v>99</v>
      </c>
      <c r="E61" s="50"/>
      <c r="F61" s="50"/>
      <c r="G61" s="50"/>
      <c r="H61" s="50"/>
      <c r="I61" s="50"/>
      <c r="J61" s="50"/>
    </row>
    <row r="62" spans="1:10">
      <c r="A62" s="50"/>
      <c r="B62" s="371"/>
      <c r="C62" s="170" t="s">
        <v>100</v>
      </c>
      <c r="D62" s="66" t="s">
        <v>101</v>
      </c>
      <c r="E62" s="50"/>
      <c r="F62" s="50"/>
      <c r="G62" s="50"/>
      <c r="H62" s="50"/>
      <c r="I62" s="50"/>
      <c r="J62" s="50"/>
    </row>
    <row r="63" spans="1:10">
      <c r="A63" s="50"/>
      <c r="B63" s="364" t="s">
        <v>43</v>
      </c>
      <c r="C63" s="171" t="s">
        <v>102</v>
      </c>
      <c r="D63" s="139" t="s">
        <v>103</v>
      </c>
      <c r="E63" s="50"/>
      <c r="F63" s="50"/>
      <c r="G63" s="50"/>
      <c r="H63" s="50"/>
      <c r="I63" s="50"/>
      <c r="J63" s="50"/>
    </row>
    <row r="64" spans="1:10">
      <c r="A64" s="50"/>
      <c r="B64" s="365"/>
      <c r="C64" s="367" t="s">
        <v>104</v>
      </c>
      <c r="D64" s="141" t="s">
        <v>105</v>
      </c>
      <c r="E64" s="50"/>
      <c r="F64" s="50"/>
      <c r="G64" s="50"/>
      <c r="H64" s="50"/>
      <c r="I64" s="50"/>
      <c r="J64" s="50"/>
    </row>
    <row r="65" spans="1:10" ht="28.9">
      <c r="A65" s="50"/>
      <c r="B65" s="365"/>
      <c r="C65" s="367"/>
      <c r="D65" s="115" t="s">
        <v>106</v>
      </c>
      <c r="E65" s="50"/>
      <c r="F65" s="50"/>
      <c r="G65" s="50"/>
      <c r="H65" s="50"/>
      <c r="I65" s="50"/>
      <c r="J65" s="50"/>
    </row>
    <row r="66" spans="1:10">
      <c r="A66" s="50"/>
      <c r="B66" s="365"/>
      <c r="C66" s="367"/>
      <c r="D66" s="115" t="s">
        <v>107</v>
      </c>
      <c r="E66" s="50"/>
      <c r="F66" s="50"/>
      <c r="G66" s="50"/>
      <c r="H66" s="50"/>
      <c r="I66" s="50"/>
      <c r="J66" s="50"/>
    </row>
    <row r="67" spans="1:10">
      <c r="A67" s="50"/>
      <c r="B67" s="365"/>
      <c r="C67" s="368" t="s">
        <v>108</v>
      </c>
      <c r="D67" s="141"/>
      <c r="E67" s="50"/>
      <c r="F67" s="50"/>
      <c r="G67" s="50"/>
      <c r="H67" s="50"/>
      <c r="I67" s="50"/>
      <c r="J67" s="50"/>
    </row>
    <row r="68" spans="1:10">
      <c r="A68" s="50"/>
      <c r="B68" s="365"/>
      <c r="C68" s="369"/>
      <c r="D68" s="141" t="s">
        <v>109</v>
      </c>
      <c r="E68" s="50"/>
      <c r="F68" s="50"/>
      <c r="G68" s="50"/>
      <c r="H68" s="50"/>
      <c r="I68" s="50"/>
      <c r="J68" s="50"/>
    </row>
    <row r="69" spans="1:10">
      <c r="A69" s="50"/>
      <c r="B69" s="365"/>
      <c r="C69" s="169" t="s">
        <v>110</v>
      </c>
      <c r="D69" s="141" t="s">
        <v>111</v>
      </c>
      <c r="E69" s="50"/>
      <c r="F69" s="50"/>
      <c r="G69" s="50"/>
      <c r="H69" s="50"/>
      <c r="I69" s="50"/>
      <c r="J69" s="50"/>
    </row>
    <row r="70" spans="1:10">
      <c r="A70" s="50"/>
      <c r="B70" s="366"/>
      <c r="C70" s="172" t="s">
        <v>112</v>
      </c>
      <c r="D70" s="121" t="s">
        <v>113</v>
      </c>
      <c r="E70" s="50"/>
      <c r="F70" s="50"/>
      <c r="G70" s="50"/>
      <c r="H70" s="50"/>
      <c r="I70" s="50"/>
      <c r="J70" s="50"/>
    </row>
  </sheetData>
  <mergeCells count="19">
    <mergeCell ref="B48:C48"/>
    <mergeCell ref="B63:B70"/>
    <mergeCell ref="C64:C66"/>
    <mergeCell ref="C67:C68"/>
    <mergeCell ref="B51:B62"/>
    <mergeCell ref="C51:C52"/>
    <mergeCell ref="C53:C56"/>
    <mergeCell ref="C58:C59"/>
    <mergeCell ref="C60:C61"/>
    <mergeCell ref="B45:C45"/>
    <mergeCell ref="B46:C46"/>
    <mergeCell ref="B47:C47"/>
    <mergeCell ref="B8:B26"/>
    <mergeCell ref="C8:C26"/>
    <mergeCell ref="B27:B29"/>
    <mergeCell ref="C27:C29"/>
    <mergeCell ref="B42:C42"/>
    <mergeCell ref="B43:C43"/>
    <mergeCell ref="B44:C44"/>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AFE9C-680F-E943-B536-31FA2391ABDC}">
  <sheetPr codeName="Feuil4">
    <tabColor theme="4" tint="0.79998168889431442"/>
  </sheetPr>
  <dimension ref="A3:N49"/>
  <sheetViews>
    <sheetView showGridLines="0" topLeftCell="A18" zoomScale="78" zoomScaleNormal="100" workbookViewId="0">
      <selection activeCell="C32" sqref="C32"/>
    </sheetView>
  </sheetViews>
  <sheetFormatPr defaultColWidth="11.42578125" defaultRowHeight="14.45"/>
  <cols>
    <col min="1" max="1" width="3.140625" style="14" bestFit="1" customWidth="1"/>
    <col min="2" max="2" width="19.42578125" style="14" bestFit="1" customWidth="1"/>
    <col min="3" max="3" width="54.42578125" style="11" customWidth="1"/>
    <col min="5" max="5" width="28.85546875" customWidth="1"/>
    <col min="6" max="6" width="42" customWidth="1"/>
    <col min="7" max="7" width="22.42578125" customWidth="1"/>
    <col min="8" max="8" width="24.42578125" customWidth="1"/>
    <col min="9" max="9" width="18.140625" customWidth="1"/>
    <col min="10" max="10" width="17.140625" customWidth="1"/>
    <col min="11" max="11" width="24.42578125" customWidth="1"/>
    <col min="12" max="12" width="20.85546875" customWidth="1"/>
    <col min="13" max="13" width="22" customWidth="1"/>
    <col min="14" max="14" width="69.85546875" customWidth="1"/>
  </cols>
  <sheetData>
    <row r="3" spans="1:14">
      <c r="A3" s="376" t="s">
        <v>114</v>
      </c>
      <c r="B3" s="376"/>
      <c r="C3" s="376"/>
      <c r="E3" s="4" t="s">
        <v>115</v>
      </c>
      <c r="F3" s="5">
        <v>1</v>
      </c>
      <c r="G3" s="5">
        <v>2</v>
      </c>
      <c r="H3" s="5">
        <v>3</v>
      </c>
      <c r="I3" s="5">
        <v>4</v>
      </c>
    </row>
    <row r="4" spans="1:14">
      <c r="A4" s="15" t="s">
        <v>116</v>
      </c>
      <c r="B4" s="16" t="s">
        <v>117</v>
      </c>
      <c r="C4" s="19" t="s">
        <v>118</v>
      </c>
      <c r="E4" s="5">
        <v>1</v>
      </c>
      <c r="F4" s="6">
        <f>E4+F3</f>
        <v>2</v>
      </c>
      <c r="G4" s="6">
        <f>E4+G3</f>
        <v>3</v>
      </c>
      <c r="H4" s="6">
        <f>E4+H3</f>
        <v>4</v>
      </c>
      <c r="I4" s="7">
        <f>E4+I3</f>
        <v>5</v>
      </c>
    </row>
    <row r="5" spans="1:14" ht="28.9">
      <c r="A5" s="13" t="s">
        <v>119</v>
      </c>
      <c r="B5" s="4" t="s">
        <v>120</v>
      </c>
      <c r="C5" s="20" t="s">
        <v>121</v>
      </c>
      <c r="E5" s="5">
        <v>2</v>
      </c>
      <c r="F5" s="6">
        <f>E5+F3</f>
        <v>3</v>
      </c>
      <c r="G5" s="6">
        <f>E5+G3</f>
        <v>4</v>
      </c>
      <c r="H5" s="7">
        <f>E5+H3</f>
        <v>5</v>
      </c>
      <c r="I5" s="7">
        <f>E5+I3</f>
        <v>6</v>
      </c>
    </row>
    <row r="6" spans="1:14" ht="28.9">
      <c r="A6" s="13" t="s">
        <v>122</v>
      </c>
      <c r="B6" s="4" t="s">
        <v>123</v>
      </c>
      <c r="C6" s="20" t="s">
        <v>124</v>
      </c>
      <c r="E6" s="5">
        <v>3</v>
      </c>
      <c r="F6" s="6">
        <f>E6+F3</f>
        <v>4</v>
      </c>
      <c r="G6" s="7">
        <f>E6+G3</f>
        <v>5</v>
      </c>
      <c r="H6" s="7">
        <f>E6+H3</f>
        <v>6</v>
      </c>
      <c r="I6" s="8">
        <f>E6+I3</f>
        <v>7</v>
      </c>
    </row>
    <row r="7" spans="1:14" ht="28.9">
      <c r="A7" s="13" t="s">
        <v>125</v>
      </c>
      <c r="B7" s="4" t="s">
        <v>126</v>
      </c>
      <c r="C7" s="20" t="s">
        <v>127</v>
      </c>
      <c r="E7" s="5">
        <v>4</v>
      </c>
      <c r="F7" s="7">
        <f>E7+F3</f>
        <v>5</v>
      </c>
      <c r="G7" s="7">
        <f>E7+G3</f>
        <v>6</v>
      </c>
      <c r="H7" s="8">
        <f>E7+H3</f>
        <v>7</v>
      </c>
      <c r="I7" s="8">
        <f>E7+I3</f>
        <v>8</v>
      </c>
    </row>
    <row r="8" spans="1:14" ht="28.9">
      <c r="A8" s="17" t="s">
        <v>128</v>
      </c>
      <c r="B8" s="18" t="s">
        <v>129</v>
      </c>
      <c r="C8" s="21" t="s">
        <v>130</v>
      </c>
      <c r="G8" s="2"/>
    </row>
    <row r="11" spans="1:14" ht="14.45" customHeight="1">
      <c r="A11" s="376" t="s">
        <v>131</v>
      </c>
      <c r="B11" s="376"/>
      <c r="C11" s="376"/>
      <c r="F11" s="10"/>
      <c r="G11" s="10"/>
    </row>
    <row r="12" spans="1:14">
      <c r="A12" s="15" t="s">
        <v>116</v>
      </c>
      <c r="B12" s="16" t="s">
        <v>117</v>
      </c>
      <c r="C12" s="19" t="s">
        <v>118</v>
      </c>
    </row>
    <row r="13" spans="1:14">
      <c r="A13" s="13" t="s">
        <v>132</v>
      </c>
      <c r="B13" s="4" t="s">
        <v>133</v>
      </c>
      <c r="C13" s="20" t="s">
        <v>134</v>
      </c>
      <c r="E13" s="40"/>
      <c r="F13" s="41"/>
      <c r="G13" s="41"/>
      <c r="H13" s="41"/>
      <c r="I13" s="41"/>
      <c r="J13" s="41"/>
      <c r="K13" s="41"/>
      <c r="L13" s="41"/>
      <c r="M13" s="41"/>
      <c r="N13" s="41"/>
    </row>
    <row r="14" spans="1:14" ht="28.9">
      <c r="A14" s="13" t="s">
        <v>135</v>
      </c>
      <c r="B14" s="4" t="s">
        <v>136</v>
      </c>
      <c r="C14" s="20" t="s">
        <v>137</v>
      </c>
      <c r="E14" s="40"/>
      <c r="F14" s="2"/>
      <c r="G14" s="2"/>
      <c r="H14" s="2"/>
      <c r="I14" s="2"/>
      <c r="J14" s="2"/>
      <c r="K14" s="2"/>
      <c r="L14" s="2"/>
      <c r="M14" s="2"/>
      <c r="N14" s="2"/>
    </row>
    <row r="15" spans="1:14" ht="28.9">
      <c r="A15" s="13" t="s">
        <v>138</v>
      </c>
      <c r="B15" s="4" t="s">
        <v>139</v>
      </c>
      <c r="C15" s="20" t="s">
        <v>140</v>
      </c>
      <c r="E15" s="40"/>
      <c r="F15" s="2"/>
      <c r="G15" s="2"/>
      <c r="H15" s="2"/>
      <c r="I15" s="2"/>
      <c r="J15" s="2"/>
      <c r="K15" s="2"/>
      <c r="L15" s="2"/>
      <c r="M15" s="2"/>
      <c r="N15" s="2"/>
    </row>
    <row r="16" spans="1:14" ht="28.9">
      <c r="A16" s="13" t="s">
        <v>141</v>
      </c>
      <c r="B16" s="18" t="s">
        <v>142</v>
      </c>
      <c r="C16" s="20" t="s">
        <v>143</v>
      </c>
      <c r="E16" s="40"/>
      <c r="F16" s="2"/>
      <c r="G16" s="2"/>
      <c r="H16" s="2"/>
      <c r="I16" s="2"/>
      <c r="J16" s="2"/>
      <c r="K16" s="2"/>
      <c r="L16" s="2"/>
      <c r="M16" s="2"/>
      <c r="N16" s="2"/>
    </row>
    <row r="17" spans="1:14">
      <c r="E17" s="40"/>
      <c r="F17" s="2"/>
      <c r="G17" s="2"/>
      <c r="H17" s="2"/>
      <c r="I17" s="2"/>
      <c r="J17" s="2"/>
      <c r="K17" s="2"/>
      <c r="L17" s="2"/>
      <c r="M17" s="2"/>
      <c r="N17" s="2"/>
    </row>
    <row r="18" spans="1:14">
      <c r="E18" s="40"/>
      <c r="F18" s="2"/>
      <c r="G18" s="2"/>
      <c r="H18" s="2"/>
      <c r="I18" s="2"/>
      <c r="J18" s="2"/>
      <c r="K18" s="2"/>
      <c r="L18" s="2"/>
      <c r="M18" s="2"/>
      <c r="N18" s="2"/>
    </row>
    <row r="19" spans="1:14">
      <c r="A19" s="376" t="s">
        <v>144</v>
      </c>
      <c r="B19" s="376"/>
      <c r="C19" s="376"/>
    </row>
    <row r="20" spans="1:14">
      <c r="A20" s="15" t="s">
        <v>116</v>
      </c>
      <c r="B20" s="16" t="s">
        <v>117</v>
      </c>
      <c r="C20" s="19" t="s">
        <v>118</v>
      </c>
    </row>
    <row r="21" spans="1:14">
      <c r="A21" s="13" t="s">
        <v>145</v>
      </c>
      <c r="B21" s="4" t="s">
        <v>146</v>
      </c>
      <c r="C21" s="20" t="s">
        <v>147</v>
      </c>
    </row>
    <row r="22" spans="1:14">
      <c r="A22" s="13" t="s">
        <v>148</v>
      </c>
      <c r="B22" s="4" t="s">
        <v>149</v>
      </c>
      <c r="C22" s="20" t="s">
        <v>150</v>
      </c>
    </row>
    <row r="23" spans="1:14">
      <c r="A23" s="13" t="s">
        <v>151</v>
      </c>
      <c r="B23" s="4" t="s">
        <v>152</v>
      </c>
      <c r="C23" s="20" t="s">
        <v>153</v>
      </c>
    </row>
    <row r="24" spans="1:14" ht="28.9">
      <c r="A24" s="17" t="s">
        <v>154</v>
      </c>
      <c r="B24" s="18" t="s">
        <v>155</v>
      </c>
      <c r="C24" s="21" t="s">
        <v>156</v>
      </c>
    </row>
    <row r="27" spans="1:14">
      <c r="A27" s="376" t="s">
        <v>157</v>
      </c>
      <c r="B27" s="376"/>
      <c r="C27" s="376"/>
    </row>
    <row r="28" spans="1:14">
      <c r="A28" s="15" t="s">
        <v>116</v>
      </c>
      <c r="B28" s="16" t="s">
        <v>117</v>
      </c>
      <c r="C28" s="19" t="s">
        <v>118</v>
      </c>
    </row>
    <row r="29" spans="1:14" ht="28.9">
      <c r="A29" s="13" t="s">
        <v>158</v>
      </c>
      <c r="B29" s="4" t="s">
        <v>159</v>
      </c>
      <c r="C29" s="20" t="s">
        <v>160</v>
      </c>
    </row>
    <row r="30" spans="1:14" ht="28.9">
      <c r="A30" s="13" t="s">
        <v>161</v>
      </c>
      <c r="B30" s="4" t="s">
        <v>162</v>
      </c>
      <c r="C30" s="20" t="s">
        <v>163</v>
      </c>
    </row>
    <row r="31" spans="1:14" ht="28.9">
      <c r="A31" s="13" t="s">
        <v>164</v>
      </c>
      <c r="B31" s="4" t="s">
        <v>165</v>
      </c>
      <c r="C31" s="20" t="s">
        <v>166</v>
      </c>
    </row>
    <row r="32" spans="1:14" ht="28.9">
      <c r="A32" s="13" t="s">
        <v>167</v>
      </c>
      <c r="B32" s="18" t="s">
        <v>168</v>
      </c>
      <c r="C32" s="20" t="s">
        <v>169</v>
      </c>
    </row>
    <row r="35" spans="1:3">
      <c r="A35" s="376" t="s">
        <v>170</v>
      </c>
      <c r="B35" s="376"/>
      <c r="C35" s="376"/>
    </row>
    <row r="36" spans="1:3">
      <c r="A36" s="15" t="s">
        <v>116</v>
      </c>
      <c r="B36" s="16" t="s">
        <v>117</v>
      </c>
      <c r="C36" s="19" t="s">
        <v>118</v>
      </c>
    </row>
    <row r="37" spans="1:3">
      <c r="A37" s="13" t="s">
        <v>171</v>
      </c>
      <c r="B37" s="4" t="s">
        <v>172</v>
      </c>
      <c r="C37" s="20" t="s">
        <v>173</v>
      </c>
    </row>
    <row r="38" spans="1:3">
      <c r="A38" s="13" t="s">
        <v>174</v>
      </c>
      <c r="B38" s="4" t="s">
        <v>175</v>
      </c>
      <c r="C38" s="20" t="s">
        <v>176</v>
      </c>
    </row>
    <row r="39" spans="1:3">
      <c r="A39" s="13" t="s">
        <v>177</v>
      </c>
      <c r="B39" s="4" t="s">
        <v>178</v>
      </c>
      <c r="C39" s="20" t="s">
        <v>179</v>
      </c>
    </row>
    <row r="40" spans="1:3">
      <c r="A40" s="13" t="s">
        <v>180</v>
      </c>
      <c r="B40" s="18" t="s">
        <v>181</v>
      </c>
      <c r="C40" s="21" t="s">
        <v>182</v>
      </c>
    </row>
    <row r="43" spans="1:3">
      <c r="A43" s="376" t="s">
        <v>183</v>
      </c>
      <c r="B43" s="376"/>
      <c r="C43" s="376"/>
    </row>
    <row r="44" spans="1:3">
      <c r="A44" s="15" t="s">
        <v>116</v>
      </c>
      <c r="B44" s="16" t="s">
        <v>117</v>
      </c>
      <c r="C44" s="19" t="s">
        <v>118</v>
      </c>
    </row>
    <row r="45" spans="1:3">
      <c r="A45" s="13" t="s">
        <v>184</v>
      </c>
      <c r="B45" s="4" t="s">
        <v>185</v>
      </c>
      <c r="C45" s="20" t="s">
        <v>186</v>
      </c>
    </row>
    <row r="46" spans="1:3">
      <c r="A46" s="13" t="s">
        <v>187</v>
      </c>
      <c r="B46" s="4" t="s">
        <v>188</v>
      </c>
      <c r="C46" s="20" t="s">
        <v>189</v>
      </c>
    </row>
    <row r="47" spans="1:3">
      <c r="A47" s="13" t="s">
        <v>190</v>
      </c>
      <c r="B47" s="4" t="s">
        <v>191</v>
      </c>
      <c r="C47" s="20" t="s">
        <v>192</v>
      </c>
    </row>
    <row r="48" spans="1:3">
      <c r="A48" s="13" t="s">
        <v>193</v>
      </c>
      <c r="B48" s="18" t="s">
        <v>194</v>
      </c>
      <c r="C48" s="21" t="s">
        <v>195</v>
      </c>
    </row>
    <row r="49" spans="14:14" ht="23.45">
      <c r="N49" s="42" t="s">
        <v>196</v>
      </c>
    </row>
  </sheetData>
  <mergeCells count="6">
    <mergeCell ref="A43:C43"/>
    <mergeCell ref="A35:C35"/>
    <mergeCell ref="A3:C3"/>
    <mergeCell ref="A11:C11"/>
    <mergeCell ref="A19:C19"/>
    <mergeCell ref="A27:C27"/>
  </mergeCells>
  <phoneticPr fontId="2"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tabColor theme="4" tint="0.79998168889431442"/>
  </sheetPr>
  <dimension ref="B2:AV66"/>
  <sheetViews>
    <sheetView showGridLines="0" topLeftCell="A36" zoomScale="70" zoomScaleNormal="70" workbookViewId="0">
      <selection activeCell="E16" sqref="E16"/>
    </sheetView>
  </sheetViews>
  <sheetFormatPr defaultColWidth="8.85546875" defaultRowHeight="15" customHeight="1"/>
  <cols>
    <col min="1" max="1" width="8.85546875" style="1"/>
    <col min="2" max="2" width="62.85546875" style="1" customWidth="1"/>
    <col min="3" max="3" width="54.85546875" style="1" customWidth="1"/>
    <col min="4" max="4" width="5.42578125" style="2" customWidth="1"/>
    <col min="5" max="5" width="37.140625" style="2" customWidth="1"/>
    <col min="6" max="6" width="30.42578125" style="11" bestFit="1" customWidth="1"/>
    <col min="7" max="16" width="7.42578125" style="1" customWidth="1"/>
    <col min="17" max="17" width="9.140625" style="1" customWidth="1"/>
    <col min="18" max="18" width="11.42578125" style="1" customWidth="1"/>
    <col min="19" max="23" width="7.42578125" style="1" customWidth="1"/>
    <col min="24" max="27" width="8.85546875" style="1"/>
    <col min="28" max="31" width="10.140625" style="1" customWidth="1"/>
    <col min="32" max="16384" width="8.85546875" style="1"/>
  </cols>
  <sheetData>
    <row r="2" spans="2:4" ht="14.45">
      <c r="B2" s="47" t="s">
        <v>197</v>
      </c>
      <c r="C2" s="47" t="s">
        <v>198</v>
      </c>
    </row>
    <row r="3" spans="2:4" ht="14.45" customHeight="1">
      <c r="B3" s="192" t="s">
        <v>199</v>
      </c>
      <c r="C3" s="193" t="s">
        <v>200</v>
      </c>
    </row>
    <row r="4" spans="2:4" ht="14.45" customHeight="1">
      <c r="B4" s="194"/>
      <c r="C4" s="195" t="s">
        <v>201</v>
      </c>
    </row>
    <row r="5" spans="2:4" ht="14.45" customHeight="1">
      <c r="B5" s="194"/>
      <c r="C5" s="196" t="s">
        <v>202</v>
      </c>
    </row>
    <row r="6" spans="2:4" ht="14.45" customHeight="1">
      <c r="B6" s="209" t="s">
        <v>203</v>
      </c>
      <c r="C6" s="210" t="s">
        <v>204</v>
      </c>
    </row>
    <row r="7" spans="2:4" ht="14.45" customHeight="1">
      <c r="B7" s="211"/>
      <c r="C7" s="212" t="s">
        <v>205</v>
      </c>
    </row>
    <row r="8" spans="2:4" ht="14.45" customHeight="1">
      <c r="B8" s="211"/>
      <c r="C8" s="212" t="s">
        <v>206</v>
      </c>
    </row>
    <row r="9" spans="2:4" ht="14.45" customHeight="1">
      <c r="B9" s="211"/>
      <c r="C9" s="212" t="s">
        <v>207</v>
      </c>
    </row>
    <row r="10" spans="2:4" ht="14.45">
      <c r="B10" s="213"/>
      <c r="C10" s="214" t="s">
        <v>208</v>
      </c>
    </row>
    <row r="11" spans="2:4" ht="14.45">
      <c r="B11" s="197" t="s">
        <v>209</v>
      </c>
      <c r="C11" s="193" t="s">
        <v>210</v>
      </c>
    </row>
    <row r="12" spans="2:4" ht="14.45">
      <c r="B12" s="198"/>
      <c r="C12" s="199" t="s">
        <v>211</v>
      </c>
    </row>
    <row r="13" spans="2:4" ht="14.45">
      <c r="B13" s="200"/>
      <c r="C13" s="199" t="s">
        <v>212</v>
      </c>
    </row>
    <row r="14" spans="2:4" ht="16.350000000000001" customHeight="1">
      <c r="B14" s="201"/>
      <c r="C14" s="196" t="s">
        <v>213</v>
      </c>
      <c r="D14" s="1"/>
    </row>
    <row r="15" spans="2:4" ht="16.350000000000001" customHeight="1">
      <c r="B15" s="215" t="s">
        <v>214</v>
      </c>
      <c r="C15" s="210" t="s">
        <v>215</v>
      </c>
      <c r="D15" s="1"/>
    </row>
    <row r="16" spans="2:4" ht="16.350000000000001" customHeight="1">
      <c r="B16" s="216"/>
      <c r="C16" s="212" t="s">
        <v>216</v>
      </c>
      <c r="D16" s="1"/>
    </row>
    <row r="17" spans="2:5" ht="16.350000000000001" customHeight="1">
      <c r="B17" s="213"/>
      <c r="C17" s="214" t="s">
        <v>217</v>
      </c>
      <c r="D17" s="1"/>
    </row>
    <row r="18" spans="2:5" ht="17.100000000000001" customHeight="1">
      <c r="B18" s="217"/>
      <c r="C18" s="218" t="s">
        <v>218</v>
      </c>
      <c r="E18" s="387"/>
    </row>
    <row r="19" spans="2:5" ht="14.45" customHeight="1">
      <c r="B19" s="217"/>
      <c r="C19" s="219" t="s">
        <v>219</v>
      </c>
      <c r="E19" s="387"/>
    </row>
    <row r="20" spans="2:5" ht="14.45">
      <c r="B20" s="202" t="s">
        <v>220</v>
      </c>
      <c r="C20" s="203" t="s">
        <v>221</v>
      </c>
      <c r="E20" s="11"/>
    </row>
    <row r="21" spans="2:5" ht="14.45" customHeight="1">
      <c r="B21" s="204"/>
      <c r="C21" s="203" t="s">
        <v>222</v>
      </c>
      <c r="E21" s="11"/>
    </row>
    <row r="22" spans="2:5" ht="14.45" customHeight="1">
      <c r="B22" s="200"/>
      <c r="C22" s="195" t="s">
        <v>223</v>
      </c>
      <c r="E22" s="11"/>
    </row>
    <row r="23" spans="2:5" ht="14.45" customHeight="1">
      <c r="B23" s="205"/>
      <c r="C23" s="194" t="s">
        <v>224</v>
      </c>
      <c r="E23" s="11"/>
    </row>
    <row r="24" spans="2:5" ht="14.45">
      <c r="B24" s="220" t="s">
        <v>225</v>
      </c>
      <c r="C24" s="210" t="s">
        <v>226</v>
      </c>
      <c r="E24" s="11"/>
    </row>
    <row r="25" spans="2:5" ht="14.45">
      <c r="B25" s="221"/>
      <c r="C25" s="212" t="s">
        <v>227</v>
      </c>
      <c r="E25" s="11"/>
    </row>
    <row r="26" spans="2:5" ht="14.45">
      <c r="B26" s="213"/>
      <c r="C26" s="212" t="s">
        <v>228</v>
      </c>
      <c r="E26" s="11"/>
    </row>
    <row r="27" spans="2:5" ht="14.45" customHeight="1">
      <c r="B27" s="222"/>
      <c r="C27" s="212" t="s">
        <v>229</v>
      </c>
      <c r="E27" s="11"/>
    </row>
    <row r="28" spans="2:5" ht="14.45" customHeight="1">
      <c r="B28" s="222"/>
      <c r="C28" s="214" t="s">
        <v>230</v>
      </c>
      <c r="E28" s="11"/>
    </row>
    <row r="29" spans="2:5" ht="14.45">
      <c r="B29" s="206" t="s">
        <v>231</v>
      </c>
      <c r="C29" s="193" t="s">
        <v>232</v>
      </c>
      <c r="E29" s="11"/>
    </row>
    <row r="30" spans="2:5" ht="14.45">
      <c r="B30" s="205"/>
      <c r="C30" s="195" t="s">
        <v>233</v>
      </c>
      <c r="E30" s="11"/>
    </row>
    <row r="31" spans="2:5" ht="14.45" customHeight="1">
      <c r="B31" s="200"/>
      <c r="C31" s="199" t="s">
        <v>234</v>
      </c>
      <c r="E31" s="11"/>
    </row>
    <row r="32" spans="2:5" ht="14.45">
      <c r="B32" s="207"/>
      <c r="C32" s="208" t="s">
        <v>235</v>
      </c>
      <c r="E32" s="11"/>
    </row>
    <row r="33" spans="2:48" ht="14.45">
      <c r="B33" s="223" t="s">
        <v>236</v>
      </c>
      <c r="C33" s="224" t="s">
        <v>237</v>
      </c>
      <c r="E33" s="11"/>
    </row>
    <row r="34" spans="2:48" ht="14.45">
      <c r="B34" s="225"/>
      <c r="C34" s="226" t="s">
        <v>238</v>
      </c>
      <c r="E34" s="11"/>
    </row>
    <row r="35" spans="2:48" ht="48" customHeight="1">
      <c r="B35" s="2"/>
      <c r="E35" s="50"/>
      <c r="F35" s="51"/>
      <c r="G35" s="391" t="s">
        <v>199</v>
      </c>
      <c r="H35" s="392"/>
      <c r="I35" s="392"/>
      <c r="J35" s="393" t="s">
        <v>239</v>
      </c>
      <c r="K35" s="394"/>
      <c r="L35" s="394"/>
      <c r="M35" s="394"/>
      <c r="N35" s="394"/>
      <c r="O35" s="380" t="s">
        <v>240</v>
      </c>
      <c r="P35" s="381"/>
      <c r="Q35" s="381"/>
      <c r="R35" s="384"/>
      <c r="S35" s="390" t="s">
        <v>214</v>
      </c>
      <c r="T35" s="390"/>
      <c r="U35" s="390"/>
      <c r="V35" s="390"/>
      <c r="W35" s="390"/>
      <c r="X35" s="388" t="s">
        <v>220</v>
      </c>
      <c r="Y35" s="389"/>
      <c r="Z35" s="389"/>
      <c r="AA35" s="389"/>
      <c r="AB35" s="377" t="s">
        <v>225</v>
      </c>
      <c r="AC35" s="378"/>
      <c r="AD35" s="378"/>
      <c r="AE35" s="378"/>
      <c r="AF35" s="379"/>
      <c r="AG35" s="380" t="s">
        <v>231</v>
      </c>
      <c r="AH35" s="381"/>
      <c r="AI35" s="381"/>
      <c r="AJ35" s="382"/>
      <c r="AK35" s="385" t="s">
        <v>241</v>
      </c>
      <c r="AL35" s="386"/>
      <c r="AM35" s="299"/>
    </row>
    <row r="36" spans="2:48" ht="282" customHeight="1">
      <c r="B36" s="2"/>
      <c r="E36" s="50" t="s">
        <v>1</v>
      </c>
      <c r="F36" s="51" t="s">
        <v>2</v>
      </c>
      <c r="G36" s="227" t="s">
        <v>242</v>
      </c>
      <c r="H36" s="227" t="s">
        <v>201</v>
      </c>
      <c r="I36" s="227" t="s">
        <v>202</v>
      </c>
      <c r="J36" s="236" t="s">
        <v>204</v>
      </c>
      <c r="K36" s="236" t="s">
        <v>243</v>
      </c>
      <c r="L36" s="236" t="s">
        <v>206</v>
      </c>
      <c r="M36" s="236" t="s">
        <v>207</v>
      </c>
      <c r="N36" s="237" t="s">
        <v>208</v>
      </c>
      <c r="O36" s="243" t="s">
        <v>210</v>
      </c>
      <c r="P36" s="244" t="s">
        <v>211</v>
      </c>
      <c r="Q36" s="245" t="s">
        <v>244</v>
      </c>
      <c r="R36" s="246" t="s">
        <v>213</v>
      </c>
      <c r="S36" s="247" t="s">
        <v>215</v>
      </c>
      <c r="T36" s="247" t="s">
        <v>216</v>
      </c>
      <c r="U36" s="247" t="s">
        <v>217</v>
      </c>
      <c r="V36" s="247" t="s">
        <v>218</v>
      </c>
      <c r="W36" s="248" t="s">
        <v>219</v>
      </c>
      <c r="X36" s="251" t="s">
        <v>221</v>
      </c>
      <c r="Y36" s="251" t="s">
        <v>222</v>
      </c>
      <c r="Z36" s="252" t="s">
        <v>223</v>
      </c>
      <c r="AA36" s="253" t="s">
        <v>224</v>
      </c>
      <c r="AB36" s="280" t="s">
        <v>226</v>
      </c>
      <c r="AC36" s="280" t="s">
        <v>227</v>
      </c>
      <c r="AD36" s="280" t="s">
        <v>228</v>
      </c>
      <c r="AE36" s="280" t="s">
        <v>229</v>
      </c>
      <c r="AF36" s="280" t="s">
        <v>230</v>
      </c>
      <c r="AG36" s="251" t="s">
        <v>245</v>
      </c>
      <c r="AH36" s="251" t="s">
        <v>233</v>
      </c>
      <c r="AI36" s="251" t="s">
        <v>234</v>
      </c>
      <c r="AJ36" s="252" t="s">
        <v>235</v>
      </c>
      <c r="AK36" s="261" t="s">
        <v>237</v>
      </c>
      <c r="AL36" s="300" t="s">
        <v>246</v>
      </c>
      <c r="AM36" s="282"/>
    </row>
    <row r="37" spans="2:48" ht="17.100000000000001" customHeight="1">
      <c r="B37" s="2"/>
      <c r="E37" s="304" t="s">
        <v>6</v>
      </c>
      <c r="F37" s="304" t="s">
        <v>7</v>
      </c>
      <c r="G37" s="228" t="s">
        <v>247</v>
      </c>
      <c r="H37" s="229" t="s">
        <v>247</v>
      </c>
      <c r="I37" s="230" t="s">
        <v>247</v>
      </c>
      <c r="J37" s="238" t="s">
        <v>247</v>
      </c>
      <c r="K37" s="238" t="s">
        <v>247</v>
      </c>
      <c r="L37" s="239" t="s">
        <v>247</v>
      </c>
      <c r="M37" s="239" t="s">
        <v>247</v>
      </c>
      <c r="N37" s="239" t="s">
        <v>247</v>
      </c>
      <c r="O37" s="233"/>
      <c r="P37" s="233" t="s">
        <v>247</v>
      </c>
      <c r="Q37" s="229" t="s">
        <v>247</v>
      </c>
      <c r="R37" s="229"/>
      <c r="S37" s="239" t="s">
        <v>247</v>
      </c>
      <c r="T37" s="239" t="s">
        <v>247</v>
      </c>
      <c r="U37" s="239" t="s">
        <v>247</v>
      </c>
      <c r="V37" s="239" t="s">
        <v>247</v>
      </c>
      <c r="W37" s="249" t="s">
        <v>247</v>
      </c>
      <c r="X37" s="254" t="s">
        <v>247</v>
      </c>
      <c r="Y37" s="254" t="s">
        <v>247</v>
      </c>
      <c r="Z37" s="254" t="s">
        <v>247</v>
      </c>
      <c r="AA37" s="265" t="s">
        <v>247</v>
      </c>
      <c r="AB37" s="263"/>
      <c r="AC37" s="240"/>
      <c r="AD37" s="240"/>
      <c r="AE37" s="263"/>
      <c r="AF37" s="263"/>
      <c r="AG37" s="269"/>
      <c r="AH37" s="254"/>
      <c r="AI37" s="254"/>
      <c r="AJ37" s="254" t="s">
        <v>247</v>
      </c>
      <c r="AK37" s="257" t="s">
        <v>247</v>
      </c>
      <c r="AL37" s="285" t="s">
        <v>247</v>
      </c>
      <c r="AM37" s="283"/>
    </row>
    <row r="38" spans="2:48" ht="17.100000000000001" customHeight="1">
      <c r="E38" s="305" t="s">
        <v>9</v>
      </c>
      <c r="F38" s="305" t="s">
        <v>10</v>
      </c>
      <c r="G38" s="228" t="s">
        <v>247</v>
      </c>
      <c r="H38" s="231" t="s">
        <v>247</v>
      </c>
      <c r="I38" s="232" t="s">
        <v>247</v>
      </c>
      <c r="J38" s="240"/>
      <c r="K38" s="240"/>
      <c r="L38" s="241"/>
      <c r="M38" s="239"/>
      <c r="N38" s="239"/>
      <c r="O38" s="229" t="s">
        <v>247</v>
      </c>
      <c r="P38" s="229" t="s">
        <v>247</v>
      </c>
      <c r="Q38" s="229" t="s">
        <v>247</v>
      </c>
      <c r="R38" s="229"/>
      <c r="S38" s="239" t="s">
        <v>247</v>
      </c>
      <c r="T38" s="239" t="s">
        <v>247</v>
      </c>
      <c r="U38" s="239" t="s">
        <v>247</v>
      </c>
      <c r="V38" s="239" t="s">
        <v>247</v>
      </c>
      <c r="W38" s="249" t="s">
        <v>247</v>
      </c>
      <c r="X38" s="254" t="s">
        <v>247</v>
      </c>
      <c r="Y38" s="254" t="s">
        <v>247</v>
      </c>
      <c r="Z38" s="254" t="s">
        <v>247</v>
      </c>
      <c r="AA38" s="265" t="s">
        <v>247</v>
      </c>
      <c r="AB38" s="263" t="s">
        <v>247</v>
      </c>
      <c r="AC38" s="240" t="s">
        <v>247</v>
      </c>
      <c r="AD38" s="240" t="s">
        <v>247</v>
      </c>
      <c r="AE38" s="263" t="s">
        <v>247</v>
      </c>
      <c r="AF38" s="263" t="s">
        <v>247</v>
      </c>
      <c r="AG38" s="269" t="s">
        <v>247</v>
      </c>
      <c r="AH38" s="254" t="s">
        <v>247</v>
      </c>
      <c r="AI38" s="254" t="s">
        <v>247</v>
      </c>
      <c r="AJ38" s="254" t="s">
        <v>247</v>
      </c>
      <c r="AK38" s="257"/>
      <c r="AL38" s="285"/>
      <c r="AM38" s="283"/>
    </row>
    <row r="39" spans="2:48" ht="17.100000000000001" customHeight="1">
      <c r="E39" s="383" t="s">
        <v>12</v>
      </c>
      <c r="F39" s="304" t="s">
        <v>13</v>
      </c>
      <c r="G39" s="228" t="s">
        <v>247</v>
      </c>
      <c r="H39" s="229" t="s">
        <v>247</v>
      </c>
      <c r="I39" s="233" t="s">
        <v>247</v>
      </c>
      <c r="J39" s="242" t="s">
        <v>247</v>
      </c>
      <c r="K39" s="242"/>
      <c r="L39" s="239"/>
      <c r="M39" s="239"/>
      <c r="N39" s="239" t="s">
        <v>247</v>
      </c>
      <c r="O39" s="229" t="s">
        <v>247</v>
      </c>
      <c r="P39" s="229" t="s">
        <v>247</v>
      </c>
      <c r="Q39" s="229" t="s">
        <v>247</v>
      </c>
      <c r="R39" s="229"/>
      <c r="S39" s="239"/>
      <c r="T39" s="239" t="s">
        <v>247</v>
      </c>
      <c r="U39" s="239" t="s">
        <v>247</v>
      </c>
      <c r="V39" s="239"/>
      <c r="W39" s="249"/>
      <c r="X39" s="232"/>
      <c r="Y39" s="232"/>
      <c r="Z39" s="232" t="s">
        <v>247</v>
      </c>
      <c r="AA39" s="266"/>
      <c r="AB39" s="263"/>
      <c r="AC39" s="240"/>
      <c r="AD39" s="240"/>
      <c r="AE39" s="263"/>
      <c r="AF39" s="263"/>
      <c r="AG39" s="235"/>
      <c r="AH39" s="232" t="s">
        <v>247</v>
      </c>
      <c r="AI39" s="232"/>
      <c r="AJ39" s="232" t="s">
        <v>247</v>
      </c>
      <c r="AK39" s="240"/>
      <c r="AL39" s="286" t="s">
        <v>247</v>
      </c>
      <c r="AM39" s="283"/>
    </row>
    <row r="40" spans="2:48" ht="17.100000000000001" customHeight="1">
      <c r="E40" s="383"/>
      <c r="F40" s="304" t="s">
        <v>7</v>
      </c>
      <c r="G40" s="228" t="s">
        <v>247</v>
      </c>
      <c r="H40" s="229" t="s">
        <v>247</v>
      </c>
      <c r="I40" s="233" t="s">
        <v>247</v>
      </c>
      <c r="J40" s="242" t="s">
        <v>247</v>
      </c>
      <c r="K40" s="242"/>
      <c r="L40" s="239"/>
      <c r="M40" s="239"/>
      <c r="N40" s="239" t="s">
        <v>247</v>
      </c>
      <c r="O40" s="229" t="s">
        <v>247</v>
      </c>
      <c r="P40" s="229" t="s">
        <v>247</v>
      </c>
      <c r="Q40" s="229" t="s">
        <v>247</v>
      </c>
      <c r="R40" s="229"/>
      <c r="S40" s="239"/>
      <c r="T40" s="239" t="s">
        <v>247</v>
      </c>
      <c r="U40" s="239" t="s">
        <v>247</v>
      </c>
      <c r="V40" s="239"/>
      <c r="W40" s="249"/>
      <c r="X40" s="232"/>
      <c r="Y40" s="232"/>
      <c r="Z40" s="232" t="s">
        <v>247</v>
      </c>
      <c r="AA40" s="266"/>
      <c r="AB40" s="263"/>
      <c r="AC40" s="240"/>
      <c r="AD40" s="240"/>
      <c r="AE40" s="263"/>
      <c r="AF40" s="263"/>
      <c r="AG40" s="235"/>
      <c r="AH40" s="232" t="s">
        <v>247</v>
      </c>
      <c r="AI40" s="232"/>
      <c r="AJ40" s="232" t="s">
        <v>247</v>
      </c>
      <c r="AK40" s="240"/>
      <c r="AL40" s="286" t="s">
        <v>247</v>
      </c>
      <c r="AM40" s="283"/>
    </row>
    <row r="41" spans="2:48" ht="17.100000000000001" customHeight="1">
      <c r="E41" s="312" t="s">
        <v>15</v>
      </c>
      <c r="F41" s="305" t="s">
        <v>7</v>
      </c>
      <c r="G41" s="228" t="s">
        <v>247</v>
      </c>
      <c r="H41" s="229" t="s">
        <v>247</v>
      </c>
      <c r="I41" s="229" t="s">
        <v>247</v>
      </c>
      <c r="J41" s="239" t="s">
        <v>247</v>
      </c>
      <c r="K41" s="239" t="s">
        <v>247</v>
      </c>
      <c r="L41" s="239" t="s">
        <v>247</v>
      </c>
      <c r="M41" s="239" t="s">
        <v>247</v>
      </c>
      <c r="N41" s="239" t="s">
        <v>247</v>
      </c>
      <c r="O41" s="229" t="s">
        <v>247</v>
      </c>
      <c r="P41" s="229" t="s">
        <v>247</v>
      </c>
      <c r="Q41" s="229" t="s">
        <v>247</v>
      </c>
      <c r="R41" s="229" t="s">
        <v>247</v>
      </c>
      <c r="S41" s="239" t="s">
        <v>247</v>
      </c>
      <c r="T41" s="239" t="s">
        <v>247</v>
      </c>
      <c r="U41" s="239" t="s">
        <v>247</v>
      </c>
      <c r="V41" s="239" t="s">
        <v>247</v>
      </c>
      <c r="W41" s="249" t="s">
        <v>247</v>
      </c>
      <c r="X41" s="232" t="s">
        <v>247</v>
      </c>
      <c r="Y41" s="232" t="s">
        <v>247</v>
      </c>
      <c r="Z41" s="232" t="s">
        <v>247</v>
      </c>
      <c r="AA41" s="266" t="s">
        <v>247</v>
      </c>
      <c r="AB41" s="263"/>
      <c r="AC41" s="240"/>
      <c r="AD41" s="240"/>
      <c r="AE41" s="263" t="s">
        <v>247</v>
      </c>
      <c r="AF41" s="263" t="s">
        <v>247</v>
      </c>
      <c r="AG41" s="235"/>
      <c r="AH41" s="232" t="s">
        <v>247</v>
      </c>
      <c r="AI41" s="232"/>
      <c r="AJ41" s="232" t="s">
        <v>247</v>
      </c>
      <c r="AK41" s="240" t="s">
        <v>247</v>
      </c>
      <c r="AL41" s="286" t="s">
        <v>247</v>
      </c>
      <c r="AM41" s="283"/>
    </row>
    <row r="42" spans="2:48" ht="17.100000000000001" customHeight="1">
      <c r="E42" s="383" t="s">
        <v>17</v>
      </c>
      <c r="F42" s="304" t="s">
        <v>248</v>
      </c>
      <c r="G42" s="228" t="s">
        <v>247</v>
      </c>
      <c r="H42" s="229" t="s">
        <v>247</v>
      </c>
      <c r="I42" s="229" t="s">
        <v>247</v>
      </c>
      <c r="J42" s="239" t="s">
        <v>247</v>
      </c>
      <c r="K42" s="239" t="s">
        <v>247</v>
      </c>
      <c r="L42" s="239" t="s">
        <v>247</v>
      </c>
      <c r="M42" s="239" t="s">
        <v>247</v>
      </c>
      <c r="N42" s="239" t="s">
        <v>247</v>
      </c>
      <c r="O42" s="229" t="s">
        <v>247</v>
      </c>
      <c r="P42" s="229" t="s">
        <v>247</v>
      </c>
      <c r="Q42" s="229" t="s">
        <v>247</v>
      </c>
      <c r="R42" s="229" t="s">
        <v>247</v>
      </c>
      <c r="S42" s="239" t="s">
        <v>247</v>
      </c>
      <c r="T42" s="239" t="s">
        <v>247</v>
      </c>
      <c r="U42" s="239" t="s">
        <v>247</v>
      </c>
      <c r="V42" s="239" t="s">
        <v>247</v>
      </c>
      <c r="W42" s="249" t="s">
        <v>247</v>
      </c>
      <c r="X42" s="232" t="s">
        <v>247</v>
      </c>
      <c r="Y42" s="232" t="s">
        <v>247</v>
      </c>
      <c r="Z42" s="232" t="s">
        <v>247</v>
      </c>
      <c r="AA42" s="266" t="s">
        <v>247</v>
      </c>
      <c r="AB42" s="240"/>
      <c r="AC42" s="240"/>
      <c r="AD42" s="240"/>
      <c r="AE42" s="264"/>
      <c r="AF42" s="264"/>
      <c r="AG42" s="235"/>
      <c r="AH42" s="232"/>
      <c r="AI42" s="232"/>
      <c r="AJ42" s="232"/>
      <c r="AK42" s="240" t="s">
        <v>247</v>
      </c>
      <c r="AL42" s="286" t="s">
        <v>247</v>
      </c>
      <c r="AM42" s="283"/>
      <c r="AS42" s="9"/>
      <c r="AT42" s="9"/>
      <c r="AU42" s="9"/>
      <c r="AV42" s="9"/>
    </row>
    <row r="43" spans="2:48" ht="17.100000000000001" customHeight="1">
      <c r="E43" s="383"/>
      <c r="F43" s="306" t="s">
        <v>249</v>
      </c>
      <c r="G43" s="228" t="s">
        <v>247</v>
      </c>
      <c r="H43" s="229" t="s">
        <v>247</v>
      </c>
      <c r="I43" s="229" t="s">
        <v>247</v>
      </c>
      <c r="J43" s="239" t="s">
        <v>247</v>
      </c>
      <c r="K43" s="239" t="s">
        <v>247</v>
      </c>
      <c r="L43" s="239" t="s">
        <v>247</v>
      </c>
      <c r="M43" s="239" t="s">
        <v>247</v>
      </c>
      <c r="N43" s="239" t="s">
        <v>247</v>
      </c>
      <c r="O43" s="229" t="s">
        <v>247</v>
      </c>
      <c r="P43" s="229" t="s">
        <v>247</v>
      </c>
      <c r="Q43" s="229" t="s">
        <v>247</v>
      </c>
      <c r="R43" s="229" t="s">
        <v>247</v>
      </c>
      <c r="S43" s="239" t="s">
        <v>247</v>
      </c>
      <c r="T43" s="239" t="s">
        <v>247</v>
      </c>
      <c r="U43" s="239" t="s">
        <v>247</v>
      </c>
      <c r="V43" s="239" t="s">
        <v>247</v>
      </c>
      <c r="W43" s="249" t="s">
        <v>247</v>
      </c>
      <c r="X43" s="232" t="s">
        <v>247</v>
      </c>
      <c r="Y43" s="232" t="s">
        <v>247</v>
      </c>
      <c r="Z43" s="232" t="s">
        <v>247</v>
      </c>
      <c r="AA43" s="266" t="s">
        <v>247</v>
      </c>
      <c r="AB43" s="240"/>
      <c r="AC43" s="240"/>
      <c r="AD43" s="240"/>
      <c r="AE43" s="264"/>
      <c r="AF43" s="264"/>
      <c r="AG43" s="235"/>
      <c r="AH43" s="232"/>
      <c r="AI43" s="232"/>
      <c r="AJ43" s="232"/>
      <c r="AK43" s="240" t="s">
        <v>247</v>
      </c>
      <c r="AL43" s="286" t="s">
        <v>247</v>
      </c>
      <c r="AM43" s="283"/>
      <c r="AS43" s="9"/>
      <c r="AT43" s="9"/>
      <c r="AU43" s="9"/>
      <c r="AV43" s="9"/>
    </row>
    <row r="44" spans="2:48" ht="17.100000000000001" customHeight="1">
      <c r="E44" s="305" t="s">
        <v>20</v>
      </c>
      <c r="F44" s="305" t="s">
        <v>21</v>
      </c>
      <c r="G44" s="228"/>
      <c r="H44" s="229"/>
      <c r="I44" s="229"/>
      <c r="J44" s="239"/>
      <c r="K44" s="239"/>
      <c r="L44" s="239"/>
      <c r="M44" s="239"/>
      <c r="N44" s="239"/>
      <c r="O44" s="229"/>
      <c r="P44" s="229"/>
      <c r="Q44" s="229"/>
      <c r="R44" s="229"/>
      <c r="S44" s="239"/>
      <c r="T44" s="239"/>
      <c r="U44" s="239"/>
      <c r="V44" s="239" t="s">
        <v>247</v>
      </c>
      <c r="W44" s="281" t="s">
        <v>247</v>
      </c>
      <c r="X44" s="255"/>
      <c r="Y44" s="255"/>
      <c r="Z44" s="255"/>
      <c r="AA44" s="267"/>
      <c r="AB44" s="258"/>
      <c r="AC44" s="258"/>
      <c r="AD44" s="258"/>
      <c r="AE44" s="263"/>
      <c r="AF44" s="263"/>
      <c r="AG44" s="270"/>
      <c r="AH44" s="255"/>
      <c r="AI44" s="255"/>
      <c r="AJ44" s="255"/>
      <c r="AK44" s="258"/>
      <c r="AL44" s="287"/>
      <c r="AM44" s="282"/>
    </row>
    <row r="45" spans="2:48" ht="17.100000000000001" customHeight="1">
      <c r="E45" s="304" t="s">
        <v>23</v>
      </c>
      <c r="F45" s="304" t="s">
        <v>24</v>
      </c>
      <c r="G45" s="228"/>
      <c r="H45" s="229"/>
      <c r="I45" s="229"/>
      <c r="J45" s="239"/>
      <c r="K45" s="239"/>
      <c r="L45" s="239"/>
      <c r="M45" s="239"/>
      <c r="N45" s="239"/>
      <c r="O45" s="229"/>
      <c r="P45" s="262"/>
      <c r="Q45" s="229"/>
      <c r="R45" s="229"/>
      <c r="S45" s="239"/>
      <c r="T45" s="239"/>
      <c r="U45" s="239"/>
      <c r="V45" s="239"/>
      <c r="W45" s="249"/>
      <c r="X45" s="232"/>
      <c r="Y45" s="232"/>
      <c r="Z45" s="232"/>
      <c r="AA45" s="266" t="s">
        <v>247</v>
      </c>
      <c r="AB45" s="240" t="s">
        <v>247</v>
      </c>
      <c r="AC45" s="240" t="s">
        <v>247</v>
      </c>
      <c r="AD45" s="240" t="s">
        <v>247</v>
      </c>
      <c r="AE45" s="263" t="s">
        <v>247</v>
      </c>
      <c r="AF45" s="263" t="s">
        <v>247</v>
      </c>
      <c r="AG45" s="235" t="s">
        <v>247</v>
      </c>
      <c r="AH45" s="232" t="s">
        <v>247</v>
      </c>
      <c r="AI45" s="232" t="s">
        <v>247</v>
      </c>
      <c r="AJ45" s="232" t="s">
        <v>247</v>
      </c>
      <c r="AK45" s="240"/>
      <c r="AL45" s="286"/>
      <c r="AM45" s="283"/>
    </row>
    <row r="46" spans="2:48" ht="17.100000000000001" customHeight="1">
      <c r="E46" s="305" t="s">
        <v>25</v>
      </c>
      <c r="F46" s="305" t="s">
        <v>21</v>
      </c>
      <c r="G46" s="228"/>
      <c r="H46" s="229"/>
      <c r="I46" s="229"/>
      <c r="J46" s="239"/>
      <c r="K46" s="239"/>
      <c r="L46" s="239"/>
      <c r="M46" s="239"/>
      <c r="N46" s="239"/>
      <c r="O46" s="229" t="s">
        <v>247</v>
      </c>
      <c r="P46" s="229" t="s">
        <v>247</v>
      </c>
      <c r="Q46" s="229" t="s">
        <v>247</v>
      </c>
      <c r="R46" s="229" t="s">
        <v>247</v>
      </c>
      <c r="S46" s="239" t="s">
        <v>247</v>
      </c>
      <c r="T46" s="239" t="s">
        <v>247</v>
      </c>
      <c r="U46" s="239" t="s">
        <v>247</v>
      </c>
      <c r="V46" s="239"/>
      <c r="W46" s="249"/>
      <c r="X46" s="232"/>
      <c r="Y46" s="232"/>
      <c r="Z46" s="232"/>
      <c r="AA46" s="266"/>
      <c r="AB46" s="240"/>
      <c r="AC46" s="240"/>
      <c r="AD46" s="240"/>
      <c r="AE46" s="263"/>
      <c r="AF46" s="263"/>
      <c r="AG46" s="235"/>
      <c r="AH46" s="232"/>
      <c r="AI46" s="232"/>
      <c r="AJ46" s="232"/>
      <c r="AK46" s="240" t="s">
        <v>247</v>
      </c>
      <c r="AL46" s="286" t="s">
        <v>247</v>
      </c>
      <c r="AM46" s="283"/>
    </row>
    <row r="47" spans="2:48" ht="17.100000000000001" customHeight="1">
      <c r="E47" s="304" t="s">
        <v>250</v>
      </c>
      <c r="F47" s="304" t="s">
        <v>250</v>
      </c>
      <c r="G47" s="228"/>
      <c r="H47" s="229"/>
      <c r="I47" s="229"/>
      <c r="J47" s="239"/>
      <c r="K47" s="239"/>
      <c r="L47" s="239"/>
      <c r="M47" s="239"/>
      <c r="N47" s="239"/>
      <c r="O47" s="229"/>
      <c r="P47" s="229"/>
      <c r="Q47" s="229"/>
      <c r="R47" s="229"/>
      <c r="S47" s="239" t="s">
        <v>247</v>
      </c>
      <c r="T47" s="239"/>
      <c r="U47" s="239" t="s">
        <v>247</v>
      </c>
      <c r="V47" s="239"/>
      <c r="W47" s="249"/>
      <c r="X47" s="232"/>
      <c r="Y47" s="232"/>
      <c r="Z47" s="232"/>
      <c r="AA47" s="266"/>
      <c r="AB47" s="240"/>
      <c r="AC47" s="240"/>
      <c r="AD47" s="240"/>
      <c r="AE47" s="263"/>
      <c r="AF47" s="263"/>
      <c r="AG47" s="235"/>
      <c r="AH47" s="232"/>
      <c r="AI47" s="232"/>
      <c r="AJ47" s="232" t="s">
        <v>247</v>
      </c>
      <c r="AK47" s="240"/>
      <c r="AL47" s="286"/>
      <c r="AM47" s="283"/>
    </row>
    <row r="48" spans="2:48" ht="17.100000000000001" customHeight="1">
      <c r="E48" s="312" t="s">
        <v>28</v>
      </c>
      <c r="F48" s="305" t="s">
        <v>7</v>
      </c>
      <c r="G48" s="228" t="s">
        <v>251</v>
      </c>
      <c r="H48" s="229"/>
      <c r="I48" s="229"/>
      <c r="J48" s="239" t="s">
        <v>251</v>
      </c>
      <c r="K48" s="239" t="s">
        <v>251</v>
      </c>
      <c r="L48" s="239"/>
      <c r="M48" s="239"/>
      <c r="N48" s="239" t="s">
        <v>251</v>
      </c>
      <c r="O48" s="229" t="s">
        <v>251</v>
      </c>
      <c r="P48" s="229"/>
      <c r="Q48" s="229" t="s">
        <v>251</v>
      </c>
      <c r="R48" s="229" t="s">
        <v>251</v>
      </c>
      <c r="S48" s="239"/>
      <c r="T48" s="239"/>
      <c r="U48" s="239" t="s">
        <v>251</v>
      </c>
      <c r="V48" s="239"/>
      <c r="W48" s="249" t="s">
        <v>251</v>
      </c>
      <c r="X48" s="232" t="s">
        <v>251</v>
      </c>
      <c r="Y48" s="232" t="s">
        <v>251</v>
      </c>
      <c r="Z48" s="232" t="s">
        <v>251</v>
      </c>
      <c r="AA48" s="266" t="s">
        <v>251</v>
      </c>
      <c r="AB48" s="240" t="s">
        <v>251</v>
      </c>
      <c r="AC48" s="240"/>
      <c r="AD48" s="240"/>
      <c r="AE48" s="263"/>
      <c r="AF48" s="263"/>
      <c r="AG48" s="235"/>
      <c r="AH48" s="232"/>
      <c r="AI48" s="232"/>
      <c r="AJ48" s="232"/>
      <c r="AK48" s="240" t="s">
        <v>251</v>
      </c>
      <c r="AL48" s="286" t="s">
        <v>251</v>
      </c>
      <c r="AM48" s="283"/>
    </row>
    <row r="49" spans="3:39" ht="17.100000000000001" customHeight="1">
      <c r="E49" s="307" t="s">
        <v>29</v>
      </c>
      <c r="F49" s="304" t="s">
        <v>7</v>
      </c>
      <c r="G49" s="228"/>
      <c r="H49" s="229"/>
      <c r="I49" s="229"/>
      <c r="J49" s="239" t="s">
        <v>251</v>
      </c>
      <c r="K49" s="239"/>
      <c r="L49" s="239"/>
      <c r="M49" s="239"/>
      <c r="N49" s="239" t="s">
        <v>251</v>
      </c>
      <c r="O49" s="229" t="s">
        <v>251</v>
      </c>
      <c r="P49" s="229"/>
      <c r="Q49" s="229" t="s">
        <v>251</v>
      </c>
      <c r="R49" s="229" t="s">
        <v>251</v>
      </c>
      <c r="S49" s="239"/>
      <c r="T49" s="239"/>
      <c r="U49" s="239"/>
      <c r="V49" s="239"/>
      <c r="W49" s="249"/>
      <c r="X49" s="232"/>
      <c r="Y49" s="232"/>
      <c r="Z49" s="232"/>
      <c r="AA49" s="266"/>
      <c r="AB49" s="240"/>
      <c r="AC49" s="240"/>
      <c r="AD49" s="240"/>
      <c r="AE49" s="263"/>
      <c r="AF49" s="263"/>
      <c r="AG49" s="235"/>
      <c r="AH49" s="232"/>
      <c r="AI49" s="232"/>
      <c r="AJ49" s="232"/>
      <c r="AK49" s="240" t="s">
        <v>251</v>
      </c>
      <c r="AL49" s="286" t="s">
        <v>251</v>
      </c>
      <c r="AM49" s="283"/>
    </row>
    <row r="50" spans="3:39" ht="17.100000000000001" customHeight="1">
      <c r="E50" s="312" t="s">
        <v>30</v>
      </c>
      <c r="F50" s="305" t="s">
        <v>7</v>
      </c>
      <c r="G50" s="228"/>
      <c r="H50" s="229"/>
      <c r="I50" s="229"/>
      <c r="J50" s="239"/>
      <c r="K50" s="239"/>
      <c r="L50" s="239"/>
      <c r="M50" s="239"/>
      <c r="N50" s="239"/>
      <c r="O50" s="229"/>
      <c r="P50" s="229"/>
      <c r="Q50" s="229"/>
      <c r="R50" s="229"/>
      <c r="S50" s="239"/>
      <c r="T50" s="239"/>
      <c r="U50" s="239"/>
      <c r="V50" s="239"/>
      <c r="W50" s="249"/>
      <c r="X50" s="232"/>
      <c r="Y50" s="232"/>
      <c r="Z50" s="232"/>
      <c r="AA50" s="266"/>
      <c r="AB50" s="240"/>
      <c r="AC50" s="240"/>
      <c r="AD50" s="240"/>
      <c r="AE50" s="263"/>
      <c r="AF50" s="263"/>
      <c r="AG50" s="235"/>
      <c r="AH50" s="232"/>
      <c r="AI50" s="232"/>
      <c r="AJ50" s="232"/>
      <c r="AK50" s="240"/>
      <c r="AL50" s="286"/>
      <c r="AM50" s="283"/>
    </row>
    <row r="51" spans="3:39" ht="17.100000000000001" customHeight="1">
      <c r="E51" s="304" t="s">
        <v>45</v>
      </c>
      <c r="F51" s="304" t="s">
        <v>21</v>
      </c>
      <c r="G51" s="228" t="s">
        <v>251</v>
      </c>
      <c r="H51" s="229" t="s">
        <v>251</v>
      </c>
      <c r="I51" s="229" t="s">
        <v>251</v>
      </c>
      <c r="J51" s="239" t="s">
        <v>251</v>
      </c>
      <c r="K51" s="239" t="s">
        <v>251</v>
      </c>
      <c r="L51" s="239" t="s">
        <v>251</v>
      </c>
      <c r="M51" s="239" t="s">
        <v>251</v>
      </c>
      <c r="N51" s="239" t="s">
        <v>251</v>
      </c>
      <c r="O51" s="229" t="s">
        <v>251</v>
      </c>
      <c r="P51" s="229" t="s">
        <v>251</v>
      </c>
      <c r="Q51" s="229" t="s">
        <v>251</v>
      </c>
      <c r="R51" s="229" t="s">
        <v>251</v>
      </c>
      <c r="S51" s="239" t="s">
        <v>251</v>
      </c>
      <c r="T51" s="239" t="s">
        <v>251</v>
      </c>
      <c r="U51" s="239" t="s">
        <v>251</v>
      </c>
      <c r="V51" s="239" t="s">
        <v>251</v>
      </c>
      <c r="W51" s="249" t="s">
        <v>251</v>
      </c>
      <c r="X51" s="232" t="s">
        <v>251</v>
      </c>
      <c r="Y51" s="232" t="s">
        <v>251</v>
      </c>
      <c r="Z51" s="232" t="s">
        <v>251</v>
      </c>
      <c r="AA51" s="266" t="s">
        <v>251</v>
      </c>
      <c r="AB51" s="240"/>
      <c r="AC51" s="240"/>
      <c r="AD51" s="240"/>
      <c r="AE51" s="263"/>
      <c r="AF51" s="263"/>
      <c r="AG51" s="235"/>
      <c r="AH51" s="232"/>
      <c r="AI51" s="232"/>
      <c r="AJ51" s="232"/>
      <c r="AK51" s="240"/>
      <c r="AL51" s="286" t="s">
        <v>251</v>
      </c>
      <c r="AM51" s="283"/>
    </row>
    <row r="52" spans="3:39" ht="17.100000000000001" customHeight="1">
      <c r="E52" s="305" t="s">
        <v>252</v>
      </c>
      <c r="F52" s="305" t="s">
        <v>7</v>
      </c>
      <c r="G52" s="228" t="s">
        <v>251</v>
      </c>
      <c r="H52" s="229" t="s">
        <v>251</v>
      </c>
      <c r="I52" s="229" t="s">
        <v>251</v>
      </c>
      <c r="J52" s="239" t="s">
        <v>251</v>
      </c>
      <c r="K52" s="239" t="s">
        <v>251</v>
      </c>
      <c r="L52" s="239" t="s">
        <v>251</v>
      </c>
      <c r="M52" s="239" t="s">
        <v>251</v>
      </c>
      <c r="N52" s="239" t="s">
        <v>251</v>
      </c>
      <c r="O52" s="229" t="s">
        <v>251</v>
      </c>
      <c r="P52" s="229" t="s">
        <v>251</v>
      </c>
      <c r="Q52" s="229" t="s">
        <v>251</v>
      </c>
      <c r="R52" s="229" t="s">
        <v>251</v>
      </c>
      <c r="S52" s="239" t="s">
        <v>251</v>
      </c>
      <c r="T52" s="239" t="s">
        <v>251</v>
      </c>
      <c r="U52" s="239" t="s">
        <v>251</v>
      </c>
      <c r="V52" s="239" t="s">
        <v>251</v>
      </c>
      <c r="W52" s="249" t="s">
        <v>251</v>
      </c>
      <c r="X52" s="232" t="s">
        <v>251</v>
      </c>
      <c r="Y52" s="232" t="s">
        <v>251</v>
      </c>
      <c r="Z52" s="232" t="s">
        <v>251</v>
      </c>
      <c r="AA52" s="266" t="s">
        <v>251</v>
      </c>
      <c r="AB52" s="240"/>
      <c r="AC52" s="240"/>
      <c r="AD52" s="240"/>
      <c r="AE52" s="263"/>
      <c r="AF52" s="263"/>
      <c r="AG52" s="235"/>
      <c r="AH52" s="232"/>
      <c r="AI52" s="232" t="s">
        <v>251</v>
      </c>
      <c r="AJ52" s="232" t="s">
        <v>251</v>
      </c>
      <c r="AK52" s="240"/>
      <c r="AL52" s="286" t="s">
        <v>251</v>
      </c>
      <c r="AM52" s="283"/>
    </row>
    <row r="53" spans="3:39" ht="17.100000000000001" customHeight="1">
      <c r="C53"/>
      <c r="E53" s="304" t="s">
        <v>47</v>
      </c>
      <c r="F53" s="304" t="s">
        <v>253</v>
      </c>
      <c r="G53" s="228"/>
      <c r="H53" s="229"/>
      <c r="I53" s="229"/>
      <c r="J53" s="239"/>
      <c r="K53" s="239"/>
      <c r="L53" s="239"/>
      <c r="M53" s="239"/>
      <c r="N53" s="239"/>
      <c r="O53" s="229"/>
      <c r="P53" s="229"/>
      <c r="Q53" s="229"/>
      <c r="R53" s="229"/>
      <c r="S53" s="239"/>
      <c r="T53" s="239"/>
      <c r="U53" s="239"/>
      <c r="V53" s="239"/>
      <c r="W53" s="249"/>
      <c r="X53" s="232"/>
      <c r="Y53" s="232"/>
      <c r="Z53" s="232"/>
      <c r="AA53" s="266"/>
      <c r="AB53" s="240" t="s">
        <v>251</v>
      </c>
      <c r="AC53" s="240" t="s">
        <v>251</v>
      </c>
      <c r="AD53" s="240"/>
      <c r="AE53" s="263"/>
      <c r="AF53" s="263"/>
      <c r="AG53" s="235" t="s">
        <v>247</v>
      </c>
      <c r="AH53" s="232"/>
      <c r="AI53" s="232"/>
      <c r="AJ53" s="232"/>
      <c r="AK53" s="240"/>
      <c r="AL53" s="286"/>
      <c r="AM53" s="283"/>
    </row>
    <row r="54" spans="3:39" ht="17.100000000000001" customHeight="1">
      <c r="E54" s="311" t="s">
        <v>48</v>
      </c>
      <c r="F54" s="311" t="s">
        <v>49</v>
      </c>
      <c r="G54" s="228"/>
      <c r="H54" s="229"/>
      <c r="I54" s="229"/>
      <c r="J54" s="239"/>
      <c r="K54" s="239" t="s">
        <v>251</v>
      </c>
      <c r="L54" s="239"/>
      <c r="M54" s="239"/>
      <c r="N54" s="239"/>
      <c r="O54" s="229" t="s">
        <v>251</v>
      </c>
      <c r="P54" s="229"/>
      <c r="Q54" s="229"/>
      <c r="R54" s="229"/>
      <c r="S54" s="239"/>
      <c r="T54" s="239"/>
      <c r="U54" s="239"/>
      <c r="V54" s="239"/>
      <c r="W54" s="249"/>
      <c r="X54" s="232"/>
      <c r="Y54" s="232"/>
      <c r="Z54" s="232"/>
      <c r="AA54" s="266"/>
      <c r="AB54" s="240"/>
      <c r="AC54" s="240"/>
      <c r="AD54" s="240"/>
      <c r="AE54" s="263"/>
      <c r="AF54" s="263"/>
      <c r="AG54" s="235"/>
      <c r="AH54" s="232"/>
      <c r="AI54" s="232"/>
      <c r="AJ54" s="232"/>
      <c r="AK54" s="240"/>
      <c r="AL54" s="286"/>
      <c r="AM54" s="283"/>
    </row>
    <row r="55" spans="3:39" ht="17.100000000000001" customHeight="1">
      <c r="E55" s="308" t="s">
        <v>254</v>
      </c>
      <c r="F55" s="304" t="s">
        <v>7</v>
      </c>
      <c r="G55" s="228" t="s">
        <v>251</v>
      </c>
      <c r="H55" s="229" t="s">
        <v>251</v>
      </c>
      <c r="I55" s="229" t="s">
        <v>251</v>
      </c>
      <c r="J55" s="239" t="s">
        <v>251</v>
      </c>
      <c r="K55" s="239" t="s">
        <v>251</v>
      </c>
      <c r="L55" s="239" t="s">
        <v>251</v>
      </c>
      <c r="M55" s="239" t="s">
        <v>251</v>
      </c>
      <c r="N55" s="239" t="s">
        <v>251</v>
      </c>
      <c r="O55" s="229" t="s">
        <v>251</v>
      </c>
      <c r="P55" s="229" t="s">
        <v>251</v>
      </c>
      <c r="Q55" s="229" t="s">
        <v>251</v>
      </c>
      <c r="R55" s="229" t="s">
        <v>251</v>
      </c>
      <c r="S55" s="239" t="s">
        <v>251</v>
      </c>
      <c r="T55" s="239" t="s">
        <v>251</v>
      </c>
      <c r="U55" s="239" t="s">
        <v>251</v>
      </c>
      <c r="V55" s="239" t="s">
        <v>251</v>
      </c>
      <c r="W55" s="249" t="s">
        <v>251</v>
      </c>
      <c r="X55" s="232" t="s">
        <v>251</v>
      </c>
      <c r="Y55" s="232" t="s">
        <v>251</v>
      </c>
      <c r="Z55" s="232" t="s">
        <v>251</v>
      </c>
      <c r="AA55" s="266" t="s">
        <v>251</v>
      </c>
      <c r="AB55" s="240"/>
      <c r="AC55" s="240"/>
      <c r="AD55" s="240" t="s">
        <v>251</v>
      </c>
      <c r="AE55" s="263" t="s">
        <v>251</v>
      </c>
      <c r="AF55" s="263" t="s">
        <v>251</v>
      </c>
      <c r="AG55" s="235"/>
      <c r="AH55" s="232"/>
      <c r="AI55" s="232"/>
      <c r="AJ55" s="232"/>
      <c r="AK55" s="240" t="s">
        <v>251</v>
      </c>
      <c r="AL55" s="286" t="s">
        <v>251</v>
      </c>
      <c r="AM55" s="283"/>
    </row>
    <row r="56" spans="3:39" ht="17.100000000000001" customHeight="1">
      <c r="E56" s="310" t="s">
        <v>255</v>
      </c>
      <c r="F56" s="305" t="s">
        <v>7</v>
      </c>
      <c r="G56" s="228"/>
      <c r="H56" s="229"/>
      <c r="I56" s="229"/>
      <c r="J56" s="239"/>
      <c r="K56" s="239"/>
      <c r="L56" s="239" t="s">
        <v>247</v>
      </c>
      <c r="M56" s="239" t="s">
        <v>247</v>
      </c>
      <c r="N56" s="239" t="s">
        <v>247</v>
      </c>
      <c r="O56" s="229"/>
      <c r="P56" s="229"/>
      <c r="Q56" s="229"/>
      <c r="R56" s="229"/>
      <c r="S56" s="239"/>
      <c r="T56" s="239"/>
      <c r="U56" s="239"/>
      <c r="V56" s="239"/>
      <c r="W56" s="249"/>
      <c r="X56" s="232"/>
      <c r="Y56" s="232"/>
      <c r="Z56" s="232"/>
      <c r="AA56" s="266"/>
      <c r="AB56" s="240"/>
      <c r="AC56" s="240"/>
      <c r="AD56" s="240"/>
      <c r="AE56" s="263"/>
      <c r="AF56" s="263"/>
      <c r="AG56" s="235"/>
      <c r="AH56" s="232"/>
      <c r="AI56" s="232"/>
      <c r="AJ56" s="232"/>
      <c r="AK56" s="240"/>
      <c r="AL56" s="286"/>
      <c r="AM56" s="283"/>
    </row>
    <row r="57" spans="3:39" ht="17.100000000000001" customHeight="1">
      <c r="E57" s="309" t="s">
        <v>37</v>
      </c>
      <c r="F57" s="304" t="s">
        <v>7</v>
      </c>
      <c r="G57" s="228" t="s">
        <v>247</v>
      </c>
      <c r="H57" s="229" t="s">
        <v>247</v>
      </c>
      <c r="I57" s="229" t="s">
        <v>247</v>
      </c>
      <c r="J57" s="239"/>
      <c r="K57" s="239"/>
      <c r="L57" s="239" t="s">
        <v>247</v>
      </c>
      <c r="M57" s="239" t="s">
        <v>247</v>
      </c>
      <c r="N57" s="239" t="s">
        <v>247</v>
      </c>
      <c r="O57" s="229" t="s">
        <v>247</v>
      </c>
      <c r="P57" s="229" t="s">
        <v>247</v>
      </c>
      <c r="Q57" s="229" t="s">
        <v>247</v>
      </c>
      <c r="R57" s="229" t="s">
        <v>247</v>
      </c>
      <c r="S57" s="239"/>
      <c r="T57" s="239"/>
      <c r="U57" s="239"/>
      <c r="V57" s="239"/>
      <c r="W57" s="249"/>
      <c r="X57" s="256"/>
      <c r="Y57" s="256"/>
      <c r="Z57" s="256"/>
      <c r="AA57" s="268"/>
      <c r="AB57" s="240"/>
      <c r="AC57" s="240"/>
      <c r="AD57" s="240"/>
      <c r="AE57" s="263"/>
      <c r="AF57" s="263"/>
      <c r="AG57" s="271"/>
      <c r="AH57" s="256"/>
      <c r="AI57" s="256"/>
      <c r="AJ57" s="256"/>
      <c r="AK57" s="259"/>
      <c r="AL57" s="288"/>
      <c r="AM57" s="283"/>
    </row>
    <row r="58" spans="3:39" ht="17.100000000000001" customHeight="1">
      <c r="E58" s="310" t="s">
        <v>39</v>
      </c>
      <c r="F58" s="305" t="s">
        <v>7</v>
      </c>
      <c r="G58" s="234" t="s">
        <v>247</v>
      </c>
      <c r="H58" s="230" t="s">
        <v>247</v>
      </c>
      <c r="I58" s="230" t="s">
        <v>247</v>
      </c>
      <c r="J58" s="238"/>
      <c r="K58" s="238"/>
      <c r="L58" s="238" t="s">
        <v>247</v>
      </c>
      <c r="M58" s="238" t="s">
        <v>247</v>
      </c>
      <c r="N58" s="238" t="s">
        <v>247</v>
      </c>
      <c r="O58" s="230" t="s">
        <v>247</v>
      </c>
      <c r="P58" s="230" t="s">
        <v>247</v>
      </c>
      <c r="Q58" s="230" t="s">
        <v>247</v>
      </c>
      <c r="R58" s="230" t="s">
        <v>247</v>
      </c>
      <c r="S58" s="238"/>
      <c r="T58" s="238"/>
      <c r="U58" s="238"/>
      <c r="V58" s="238"/>
      <c r="W58" s="250"/>
      <c r="X58" s="256"/>
      <c r="Y58" s="232"/>
      <c r="Z58" s="232"/>
      <c r="AA58" s="266"/>
      <c r="AB58" s="240"/>
      <c r="AC58" s="240"/>
      <c r="AD58" s="240"/>
      <c r="AE58" s="263"/>
      <c r="AF58" s="263"/>
      <c r="AG58" s="235"/>
      <c r="AH58" s="232"/>
      <c r="AI58" s="232"/>
      <c r="AJ58" s="232"/>
      <c r="AK58" s="240"/>
      <c r="AL58" s="286"/>
      <c r="AM58" s="283"/>
    </row>
    <row r="59" spans="3:39" ht="17.100000000000001" customHeight="1">
      <c r="E59" s="309" t="s">
        <v>40</v>
      </c>
      <c r="F59" s="304" t="s">
        <v>7</v>
      </c>
      <c r="G59" s="235"/>
      <c r="H59" s="232"/>
      <c r="I59" s="232"/>
      <c r="J59" s="240"/>
      <c r="K59" s="240"/>
      <c r="L59" s="240" t="s">
        <v>247</v>
      </c>
      <c r="M59" s="240" t="s">
        <v>247</v>
      </c>
      <c r="N59" s="240" t="s">
        <v>247</v>
      </c>
      <c r="O59" s="232"/>
      <c r="P59" s="232"/>
      <c r="Q59" s="232"/>
      <c r="R59" s="232" t="s">
        <v>247</v>
      </c>
      <c r="S59" s="240"/>
      <c r="T59" s="240"/>
      <c r="U59" s="240"/>
      <c r="V59" s="240"/>
      <c r="W59" s="240"/>
      <c r="X59" s="232"/>
      <c r="Y59" s="235"/>
      <c r="Z59" s="232"/>
      <c r="AA59" s="266"/>
      <c r="AB59" s="240"/>
      <c r="AC59" s="240"/>
      <c r="AD59" s="240"/>
      <c r="AE59" s="263"/>
      <c r="AF59" s="263"/>
      <c r="AG59" s="235"/>
      <c r="AH59" s="232"/>
      <c r="AI59" s="232"/>
      <c r="AJ59" s="232"/>
      <c r="AK59" s="240"/>
      <c r="AL59" s="286"/>
      <c r="AM59" s="283"/>
    </row>
    <row r="60" spans="3:39" ht="17.100000000000001" customHeight="1">
      <c r="E60" s="310" t="s">
        <v>256</v>
      </c>
      <c r="F60" s="305" t="s">
        <v>7</v>
      </c>
      <c r="G60" s="276" t="s">
        <v>247</v>
      </c>
      <c r="H60" s="277" t="s">
        <v>247</v>
      </c>
      <c r="I60" s="277" t="s">
        <v>247</v>
      </c>
      <c r="J60" s="278" t="s">
        <v>247</v>
      </c>
      <c r="K60" s="278" t="s">
        <v>247</v>
      </c>
      <c r="L60" s="278" t="s">
        <v>247</v>
      </c>
      <c r="M60" s="278" t="s">
        <v>247</v>
      </c>
      <c r="N60" s="278" t="s">
        <v>247</v>
      </c>
      <c r="O60" s="277" t="s">
        <v>247</v>
      </c>
      <c r="P60" s="277" t="s">
        <v>247</v>
      </c>
      <c r="Q60" s="277" t="s">
        <v>247</v>
      </c>
      <c r="R60" s="277" t="s">
        <v>247</v>
      </c>
      <c r="S60" s="278" t="s">
        <v>247</v>
      </c>
      <c r="T60" s="278" t="s">
        <v>247</v>
      </c>
      <c r="U60" s="278" t="s">
        <v>247</v>
      </c>
      <c r="V60" s="278" t="s">
        <v>247</v>
      </c>
      <c r="W60" s="278" t="s">
        <v>247</v>
      </c>
      <c r="X60" s="277" t="s">
        <v>247</v>
      </c>
      <c r="Y60" s="276" t="s">
        <v>247</v>
      </c>
      <c r="Z60" s="277" t="s">
        <v>247</v>
      </c>
      <c r="AA60" s="279" t="s">
        <v>247</v>
      </c>
      <c r="AB60" s="278"/>
      <c r="AC60" s="278"/>
      <c r="AD60" s="278" t="s">
        <v>247</v>
      </c>
      <c r="AE60" s="263" t="s">
        <v>247</v>
      </c>
      <c r="AF60" s="263" t="s">
        <v>247</v>
      </c>
      <c r="AG60" s="276"/>
      <c r="AH60" s="277"/>
      <c r="AI60" s="277"/>
      <c r="AJ60" s="277"/>
      <c r="AK60" s="278" t="s">
        <v>247</v>
      </c>
      <c r="AL60" s="289" t="s">
        <v>247</v>
      </c>
      <c r="AM60" s="284"/>
    </row>
    <row r="61" spans="3:39" ht="17.100000000000001" customHeight="1">
      <c r="E61" s="46"/>
      <c r="F61" s="12"/>
      <c r="G61" s="2"/>
      <c r="H61" s="2"/>
      <c r="I61" s="2"/>
      <c r="J61" s="2"/>
      <c r="K61" s="2"/>
      <c r="L61" s="2"/>
      <c r="M61" s="2"/>
      <c r="N61" s="2"/>
      <c r="O61" s="2"/>
      <c r="P61" s="2"/>
      <c r="Q61" s="2"/>
      <c r="R61" s="2"/>
      <c r="S61" s="2"/>
      <c r="T61" s="2"/>
      <c r="U61" s="2"/>
      <c r="V61" s="2"/>
      <c r="W61" s="2"/>
    </row>
    <row r="62" spans="3:39" ht="17.100000000000001" customHeight="1">
      <c r="E62" s="46"/>
      <c r="F62" s="12"/>
      <c r="G62" s="2"/>
      <c r="H62" s="2"/>
      <c r="I62" s="2"/>
      <c r="J62" s="2"/>
      <c r="K62" s="2"/>
      <c r="L62" s="2"/>
      <c r="M62" s="2"/>
      <c r="N62" s="2"/>
      <c r="O62" s="2"/>
      <c r="P62" s="2"/>
      <c r="Q62" s="2"/>
      <c r="R62" s="2"/>
      <c r="S62" s="2"/>
      <c r="T62" s="2"/>
      <c r="U62" s="2"/>
      <c r="V62" s="2"/>
      <c r="W62" s="2"/>
    </row>
    <row r="63" spans="3:39" ht="17.100000000000001" customHeight="1">
      <c r="E63" s="46"/>
      <c r="F63" s="12"/>
      <c r="G63" s="2"/>
      <c r="H63" s="2"/>
      <c r="I63" s="2"/>
      <c r="J63" s="2"/>
      <c r="K63" s="2"/>
      <c r="L63" s="2"/>
      <c r="M63" s="2"/>
      <c r="N63" s="2"/>
      <c r="O63" s="2"/>
      <c r="P63" s="2"/>
      <c r="Q63" s="2"/>
      <c r="R63" s="2"/>
      <c r="S63" s="2"/>
      <c r="T63" s="2"/>
      <c r="U63" s="2"/>
      <c r="V63" s="2"/>
      <c r="W63" s="2"/>
    </row>
    <row r="64" spans="3:39" ht="17.100000000000001" customHeight="1"/>
    <row r="65" ht="17.100000000000001" customHeight="1"/>
    <row r="66" ht="17.100000000000001" customHeight="1"/>
  </sheetData>
  <mergeCells count="11">
    <mergeCell ref="E18:E19"/>
    <mergeCell ref="X35:AA35"/>
    <mergeCell ref="S35:W35"/>
    <mergeCell ref="E42:E43"/>
    <mergeCell ref="G35:I35"/>
    <mergeCell ref="J35:N35"/>
    <mergeCell ref="AB35:AF35"/>
    <mergeCell ref="AG35:AJ35"/>
    <mergeCell ref="E39:E40"/>
    <mergeCell ref="O35:R35"/>
    <mergeCell ref="AK35:AL3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4AF4-13AE-CC42-B28D-069D0DA62CD3}">
  <sheetPr codeName="Feuil6">
    <tabColor theme="5" tint="0.79998168889431442"/>
  </sheetPr>
  <dimension ref="B1:K52"/>
  <sheetViews>
    <sheetView showGridLines="0" zoomScale="55" zoomScaleNormal="55" workbookViewId="0">
      <selection activeCell="B34" sqref="B34:B35"/>
    </sheetView>
  </sheetViews>
  <sheetFormatPr defaultColWidth="11.42578125" defaultRowHeight="14.45"/>
  <cols>
    <col min="1" max="1" width="1.42578125" style="68" customWidth="1"/>
    <col min="2" max="2" width="14.140625" style="68" customWidth="1"/>
    <col min="3" max="3" width="45.140625" style="69" customWidth="1"/>
    <col min="4" max="4" width="49.85546875" style="68" customWidth="1"/>
    <col min="5" max="5" width="18.140625" style="70" customWidth="1"/>
    <col min="6" max="6" width="36.85546875" style="71" bestFit="1" customWidth="1"/>
    <col min="7" max="7" width="45.140625" style="72" bestFit="1" customWidth="1"/>
    <col min="8" max="10" width="4" style="70" customWidth="1"/>
    <col min="11" max="11" width="12.42578125" style="70" customWidth="1"/>
    <col min="12" max="16384" width="11.42578125" style="68"/>
  </cols>
  <sheetData>
    <row r="1" spans="2:11" ht="6" customHeight="1"/>
    <row r="2" spans="2:11">
      <c r="C2" s="72"/>
      <c r="D2" s="73"/>
      <c r="E2" s="74"/>
      <c r="F2" s="73"/>
      <c r="G2" s="399" t="s">
        <v>257</v>
      </c>
      <c r="H2" s="400"/>
      <c r="I2" s="400"/>
      <c r="J2" s="400"/>
      <c r="K2" s="401"/>
    </row>
    <row r="3" spans="2:11" s="74" customFormat="1" ht="33" customHeight="1">
      <c r="B3" s="75"/>
      <c r="C3" s="76" t="s">
        <v>258</v>
      </c>
      <c r="D3" s="77" t="s">
        <v>259</v>
      </c>
      <c r="E3" s="77" t="s">
        <v>260</v>
      </c>
      <c r="F3" s="77" t="s">
        <v>51</v>
      </c>
      <c r="G3" s="77" t="s">
        <v>261</v>
      </c>
      <c r="H3" s="77" t="s">
        <v>262</v>
      </c>
      <c r="I3" s="77" t="s">
        <v>263</v>
      </c>
      <c r="J3" s="77" t="s">
        <v>264</v>
      </c>
      <c r="K3" s="78" t="s">
        <v>265</v>
      </c>
    </row>
    <row r="4" spans="2:11" ht="99.75" customHeight="1">
      <c r="B4" s="403" t="s">
        <v>199</v>
      </c>
      <c r="C4" s="185" t="s">
        <v>266</v>
      </c>
      <c r="D4" s="80" t="s">
        <v>267</v>
      </c>
      <c r="E4" s="81" t="s">
        <v>268</v>
      </c>
      <c r="F4" s="82" t="s">
        <v>269</v>
      </c>
      <c r="G4" s="81" t="s">
        <v>270</v>
      </c>
      <c r="H4" s="81" t="s">
        <v>251</v>
      </c>
      <c r="I4" s="81" t="s">
        <v>251</v>
      </c>
      <c r="J4" s="81" t="s">
        <v>251</v>
      </c>
      <c r="K4" s="83" t="s">
        <v>162</v>
      </c>
    </row>
    <row r="5" spans="2:11" ht="72">
      <c r="B5" s="404"/>
      <c r="C5" s="84" t="s">
        <v>201</v>
      </c>
      <c r="D5" s="80" t="s">
        <v>271</v>
      </c>
      <c r="E5" s="81" t="s">
        <v>272</v>
      </c>
      <c r="F5" s="82" t="s">
        <v>273</v>
      </c>
      <c r="G5" s="81" t="s">
        <v>274</v>
      </c>
      <c r="H5" s="81" t="s">
        <v>251</v>
      </c>
      <c r="I5" s="81" t="s">
        <v>251</v>
      </c>
      <c r="J5" s="81" t="s">
        <v>251</v>
      </c>
      <c r="K5" s="81" t="s">
        <v>251</v>
      </c>
    </row>
    <row r="6" spans="2:11" ht="75" customHeight="1">
      <c r="B6" s="404"/>
      <c r="C6" s="176" t="s">
        <v>202</v>
      </c>
      <c r="D6" s="80" t="s">
        <v>275</v>
      </c>
      <c r="E6" s="81" t="s">
        <v>276</v>
      </c>
      <c r="F6" s="82" t="s">
        <v>269</v>
      </c>
      <c r="G6" s="67" t="s">
        <v>277</v>
      </c>
      <c r="H6" s="81" t="s">
        <v>251</v>
      </c>
      <c r="I6" s="81" t="s">
        <v>251</v>
      </c>
      <c r="J6" s="81" t="s">
        <v>251</v>
      </c>
      <c r="K6" s="83" t="s">
        <v>162</v>
      </c>
    </row>
    <row r="7" spans="2:11" ht="114.75" customHeight="1">
      <c r="B7" s="395" t="s">
        <v>203</v>
      </c>
      <c r="C7" s="185" t="s">
        <v>204</v>
      </c>
      <c r="D7" s="188" t="s">
        <v>278</v>
      </c>
      <c r="E7" s="81" t="s">
        <v>279</v>
      </c>
      <c r="F7" s="82" t="s">
        <v>280</v>
      </c>
      <c r="G7" s="67" t="s">
        <v>281</v>
      </c>
      <c r="H7" s="81" t="s">
        <v>251</v>
      </c>
      <c r="I7" s="81" t="s">
        <v>251</v>
      </c>
      <c r="J7" s="81" t="s">
        <v>251</v>
      </c>
      <c r="K7" s="87" t="s">
        <v>168</v>
      </c>
    </row>
    <row r="8" spans="2:11" ht="100.9">
      <c r="B8" s="405"/>
      <c r="C8" s="173" t="s">
        <v>205</v>
      </c>
      <c r="D8" s="189" t="s">
        <v>282</v>
      </c>
      <c r="E8" s="81" t="s">
        <v>279</v>
      </c>
      <c r="F8" s="82" t="s">
        <v>280</v>
      </c>
      <c r="G8" s="67" t="s">
        <v>283</v>
      </c>
      <c r="H8" s="81" t="s">
        <v>251</v>
      </c>
      <c r="I8" s="81" t="s">
        <v>251</v>
      </c>
      <c r="J8" s="81" t="s">
        <v>251</v>
      </c>
      <c r="K8" s="87" t="s">
        <v>168</v>
      </c>
    </row>
    <row r="9" spans="2:11" ht="86.45">
      <c r="B9" s="405"/>
      <c r="C9" s="173" t="s">
        <v>206</v>
      </c>
      <c r="D9" s="179" t="s">
        <v>284</v>
      </c>
      <c r="E9" s="85" t="s">
        <v>285</v>
      </c>
      <c r="F9" s="86" t="s">
        <v>286</v>
      </c>
      <c r="G9" s="85" t="s">
        <v>287</v>
      </c>
      <c r="H9" s="85" t="s">
        <v>251</v>
      </c>
      <c r="I9" s="85" t="s">
        <v>251</v>
      </c>
      <c r="J9" s="85" t="s">
        <v>251</v>
      </c>
      <c r="K9" s="87" t="s">
        <v>168</v>
      </c>
    </row>
    <row r="10" spans="2:11" ht="43.9" customHeight="1">
      <c r="B10" s="405"/>
      <c r="C10" s="173" t="s">
        <v>207</v>
      </c>
      <c r="D10" s="179" t="s">
        <v>288</v>
      </c>
      <c r="E10" s="85" t="s">
        <v>285</v>
      </c>
      <c r="F10" s="86" t="s">
        <v>289</v>
      </c>
      <c r="G10" s="85" t="s">
        <v>287</v>
      </c>
      <c r="H10" s="85" t="s">
        <v>251</v>
      </c>
      <c r="I10" s="85" t="s">
        <v>251</v>
      </c>
      <c r="J10" s="85" t="s">
        <v>251</v>
      </c>
      <c r="K10" s="87" t="s">
        <v>168</v>
      </c>
    </row>
    <row r="11" spans="2:11" ht="57" customHeight="1">
      <c r="B11" s="405"/>
      <c r="C11" s="186" t="s">
        <v>208</v>
      </c>
      <c r="D11" s="175" t="s">
        <v>290</v>
      </c>
      <c r="E11" s="89" t="s">
        <v>279</v>
      </c>
      <c r="F11" s="90" t="s">
        <v>291</v>
      </c>
      <c r="G11" s="89" t="s">
        <v>287</v>
      </c>
      <c r="H11" s="89" t="s">
        <v>251</v>
      </c>
      <c r="I11" s="89" t="s">
        <v>251</v>
      </c>
      <c r="J11" s="89" t="s">
        <v>251</v>
      </c>
      <c r="K11" s="91" t="s">
        <v>168</v>
      </c>
    </row>
    <row r="12" spans="2:11" ht="72.75" customHeight="1">
      <c r="B12" s="406" t="s">
        <v>209</v>
      </c>
      <c r="C12" s="182" t="s">
        <v>210</v>
      </c>
      <c r="D12" s="187" t="s">
        <v>292</v>
      </c>
      <c r="E12" s="93" t="s">
        <v>293</v>
      </c>
      <c r="F12" s="93" t="s">
        <v>294</v>
      </c>
      <c r="G12" s="93" t="s">
        <v>295</v>
      </c>
      <c r="H12" s="93"/>
      <c r="I12" s="88" t="s">
        <v>251</v>
      </c>
      <c r="J12" s="93" t="s">
        <v>251</v>
      </c>
      <c r="K12" s="181" t="s">
        <v>162</v>
      </c>
    </row>
    <row r="13" spans="2:11" ht="57.6">
      <c r="B13" s="407"/>
      <c r="C13" s="173" t="s">
        <v>211</v>
      </c>
      <c r="D13" s="179" t="s">
        <v>296</v>
      </c>
      <c r="E13" s="85" t="s">
        <v>297</v>
      </c>
      <c r="F13" s="85" t="s">
        <v>298</v>
      </c>
      <c r="G13" s="85" t="s">
        <v>299</v>
      </c>
      <c r="H13" s="85" t="s">
        <v>251</v>
      </c>
      <c r="I13" s="85" t="s">
        <v>251</v>
      </c>
      <c r="J13" s="85" t="s">
        <v>251</v>
      </c>
      <c r="K13" s="87" t="s">
        <v>165</v>
      </c>
    </row>
    <row r="14" spans="2:11" ht="42.75" customHeight="1">
      <c r="B14" s="407"/>
      <c r="C14" s="173" t="s">
        <v>212</v>
      </c>
      <c r="D14" s="179" t="s">
        <v>300</v>
      </c>
      <c r="E14" s="85" t="s">
        <v>301</v>
      </c>
      <c r="F14" s="88" t="s">
        <v>302</v>
      </c>
      <c r="G14" s="85" t="s">
        <v>303</v>
      </c>
      <c r="H14" s="85"/>
      <c r="I14" s="85"/>
      <c r="J14" s="85"/>
      <c r="K14" s="87" t="s">
        <v>159</v>
      </c>
    </row>
    <row r="15" spans="2:11" ht="72">
      <c r="B15" s="407"/>
      <c r="C15" s="174" t="s">
        <v>213</v>
      </c>
      <c r="D15" s="183" t="s">
        <v>304</v>
      </c>
      <c r="E15" s="90" t="s">
        <v>305</v>
      </c>
      <c r="F15" s="90" t="s">
        <v>306</v>
      </c>
      <c r="G15" s="90" t="s">
        <v>307</v>
      </c>
      <c r="H15" s="89" t="s">
        <v>251</v>
      </c>
      <c r="I15" s="89" t="s">
        <v>251</v>
      </c>
      <c r="J15" s="89" t="s">
        <v>251</v>
      </c>
      <c r="K15" s="91" t="s">
        <v>165</v>
      </c>
    </row>
    <row r="16" spans="2:11" ht="95.25" customHeight="1">
      <c r="B16" s="402" t="s">
        <v>308</v>
      </c>
      <c r="C16" s="182" t="s">
        <v>215</v>
      </c>
      <c r="D16" s="184" t="s">
        <v>309</v>
      </c>
      <c r="E16" s="93" t="s">
        <v>310</v>
      </c>
      <c r="F16" s="88" t="s">
        <v>302</v>
      </c>
      <c r="G16" s="88" t="s">
        <v>311</v>
      </c>
      <c r="H16" s="93"/>
      <c r="I16" s="93" t="s">
        <v>251</v>
      </c>
      <c r="J16" s="93" t="s">
        <v>251</v>
      </c>
      <c r="K16" s="181" t="s">
        <v>162</v>
      </c>
    </row>
    <row r="17" spans="2:11" ht="22.5" customHeight="1">
      <c r="B17" s="397"/>
      <c r="C17" s="173" t="s">
        <v>312</v>
      </c>
      <c r="D17" s="180" t="s">
        <v>313</v>
      </c>
      <c r="E17" s="86" t="s">
        <v>314</v>
      </c>
      <c r="F17" s="86" t="s">
        <v>302</v>
      </c>
      <c r="G17" s="86" t="s">
        <v>315</v>
      </c>
      <c r="H17" s="85" t="s">
        <v>251</v>
      </c>
      <c r="I17" s="85" t="s">
        <v>251</v>
      </c>
      <c r="J17" s="85" t="s">
        <v>251</v>
      </c>
      <c r="K17" s="87" t="s">
        <v>159</v>
      </c>
    </row>
    <row r="18" spans="2:11" ht="94.5" customHeight="1">
      <c r="B18" s="397"/>
      <c r="C18" s="173" t="s">
        <v>217</v>
      </c>
      <c r="D18" s="184" t="s">
        <v>316</v>
      </c>
      <c r="E18" s="86" t="s">
        <v>301</v>
      </c>
      <c r="F18" s="88" t="s">
        <v>302</v>
      </c>
      <c r="G18" s="88" t="s">
        <v>317</v>
      </c>
      <c r="H18" s="81" t="s">
        <v>251</v>
      </c>
      <c r="I18" s="81" t="s">
        <v>251</v>
      </c>
      <c r="J18" s="81" t="s">
        <v>251</v>
      </c>
      <c r="K18" s="181" t="s">
        <v>162</v>
      </c>
    </row>
    <row r="19" spans="2:11" ht="127.5" customHeight="1">
      <c r="B19" s="397"/>
      <c r="C19" s="173" t="s">
        <v>218</v>
      </c>
      <c r="D19" s="184" t="s">
        <v>318</v>
      </c>
      <c r="E19" s="86" t="s">
        <v>319</v>
      </c>
      <c r="F19" s="88" t="s">
        <v>302</v>
      </c>
      <c r="G19" s="88" t="s">
        <v>320</v>
      </c>
      <c r="H19" s="81" t="s">
        <v>251</v>
      </c>
      <c r="I19" s="81" t="s">
        <v>251</v>
      </c>
      <c r="J19" s="81" t="s">
        <v>251</v>
      </c>
      <c r="K19" s="181" t="s">
        <v>162</v>
      </c>
    </row>
    <row r="20" spans="2:11" ht="104.25" customHeight="1">
      <c r="B20" s="398"/>
      <c r="C20" s="174" t="s">
        <v>219</v>
      </c>
      <c r="D20" s="183" t="s">
        <v>321</v>
      </c>
      <c r="E20" s="90" t="s">
        <v>322</v>
      </c>
      <c r="F20" s="90" t="s">
        <v>323</v>
      </c>
      <c r="G20" s="90" t="s">
        <v>307</v>
      </c>
      <c r="H20" s="90"/>
      <c r="I20" s="90" t="s">
        <v>251</v>
      </c>
      <c r="J20" s="90" t="s">
        <v>251</v>
      </c>
      <c r="K20" s="91" t="s">
        <v>165</v>
      </c>
    </row>
    <row r="21" spans="2:11" ht="88.5" customHeight="1">
      <c r="B21" s="395" t="s">
        <v>220</v>
      </c>
      <c r="C21" s="182" t="s">
        <v>221</v>
      </c>
      <c r="D21" s="184" t="s">
        <v>324</v>
      </c>
      <c r="E21" s="88" t="s">
        <v>279</v>
      </c>
      <c r="F21" s="88" t="s">
        <v>325</v>
      </c>
      <c r="G21" s="88" t="s">
        <v>326</v>
      </c>
      <c r="H21" s="93" t="s">
        <v>251</v>
      </c>
      <c r="I21" s="93" t="s">
        <v>251</v>
      </c>
      <c r="J21" s="93" t="s">
        <v>251</v>
      </c>
      <c r="K21" s="181" t="s">
        <v>168</v>
      </c>
    </row>
    <row r="22" spans="2:11" ht="113.25" customHeight="1">
      <c r="B22" s="397"/>
      <c r="C22" s="173" t="s">
        <v>222</v>
      </c>
      <c r="D22" s="180" t="s">
        <v>327</v>
      </c>
      <c r="E22" s="86" t="s">
        <v>276</v>
      </c>
      <c r="F22" s="86" t="s">
        <v>328</v>
      </c>
      <c r="G22" s="86" t="s">
        <v>329</v>
      </c>
      <c r="H22" s="85" t="s">
        <v>251</v>
      </c>
      <c r="I22" s="85" t="s">
        <v>251</v>
      </c>
      <c r="J22" s="85" t="s">
        <v>251</v>
      </c>
      <c r="K22" s="87" t="s">
        <v>165</v>
      </c>
    </row>
    <row r="23" spans="2:11" ht="28.9">
      <c r="B23" s="397"/>
      <c r="C23" s="173" t="s">
        <v>330</v>
      </c>
      <c r="D23" s="179" t="s">
        <v>331</v>
      </c>
      <c r="E23" s="85" t="s">
        <v>332</v>
      </c>
      <c r="F23" s="86" t="s">
        <v>328</v>
      </c>
      <c r="G23" s="86" t="s">
        <v>326</v>
      </c>
      <c r="H23" s="85" t="s">
        <v>251</v>
      </c>
      <c r="I23" s="85" t="s">
        <v>251</v>
      </c>
      <c r="J23" s="85" t="s">
        <v>251</v>
      </c>
      <c r="K23" s="87" t="s">
        <v>165</v>
      </c>
    </row>
    <row r="24" spans="2:11" ht="60.75" customHeight="1">
      <c r="B24" s="398"/>
      <c r="C24" s="174" t="s">
        <v>224</v>
      </c>
      <c r="D24" s="179" t="s">
        <v>333</v>
      </c>
      <c r="E24" s="89" t="s">
        <v>334</v>
      </c>
      <c r="F24" s="88" t="s">
        <v>335</v>
      </c>
      <c r="G24" s="88" t="s">
        <v>336</v>
      </c>
      <c r="H24" s="81" t="s">
        <v>251</v>
      </c>
      <c r="I24" s="81" t="s">
        <v>251</v>
      </c>
      <c r="J24" s="81" t="s">
        <v>251</v>
      </c>
      <c r="K24" s="91" t="s">
        <v>159</v>
      </c>
    </row>
    <row r="25" spans="2:11" ht="62.25" customHeight="1">
      <c r="B25" s="395" t="s">
        <v>337</v>
      </c>
      <c r="C25" s="182" t="s">
        <v>226</v>
      </c>
      <c r="D25" s="179" t="s">
        <v>338</v>
      </c>
      <c r="E25" s="93" t="s">
        <v>148</v>
      </c>
      <c r="F25" s="88" t="s">
        <v>335</v>
      </c>
      <c r="G25" s="93" t="s">
        <v>339</v>
      </c>
      <c r="H25" s="93"/>
      <c r="I25" s="93"/>
      <c r="J25" s="93" t="s">
        <v>251</v>
      </c>
      <c r="K25" s="91" t="s">
        <v>162</v>
      </c>
    </row>
    <row r="26" spans="2:11" ht="98.25" customHeight="1">
      <c r="B26" s="405"/>
      <c r="C26" s="173" t="s">
        <v>227</v>
      </c>
      <c r="D26" s="179" t="s">
        <v>340</v>
      </c>
      <c r="E26" s="85" t="s">
        <v>148</v>
      </c>
      <c r="F26" s="88" t="s">
        <v>335</v>
      </c>
      <c r="G26" s="93" t="s">
        <v>339</v>
      </c>
      <c r="H26" s="85"/>
      <c r="I26" s="85"/>
      <c r="J26" s="85" t="s">
        <v>251</v>
      </c>
      <c r="K26" s="91" t="s">
        <v>162</v>
      </c>
    </row>
    <row r="27" spans="2:11" ht="57.75" customHeight="1">
      <c r="B27" s="405"/>
      <c r="C27" s="173" t="s">
        <v>228</v>
      </c>
      <c r="D27" s="179" t="s">
        <v>341</v>
      </c>
      <c r="E27" s="85" t="s">
        <v>305</v>
      </c>
      <c r="F27" s="86" t="s">
        <v>342</v>
      </c>
      <c r="G27" s="85" t="s">
        <v>343</v>
      </c>
      <c r="H27" s="81" t="s">
        <v>251</v>
      </c>
      <c r="I27" s="81" t="s">
        <v>251</v>
      </c>
      <c r="J27" s="81" t="s">
        <v>251</v>
      </c>
      <c r="K27" s="91" t="s">
        <v>162</v>
      </c>
    </row>
    <row r="28" spans="2:11" ht="80.25" customHeight="1">
      <c r="B28" s="405"/>
      <c r="C28" s="173" t="s">
        <v>229</v>
      </c>
      <c r="D28" s="179" t="s">
        <v>344</v>
      </c>
      <c r="E28" s="85" t="s">
        <v>345</v>
      </c>
      <c r="F28" s="86" t="s">
        <v>342</v>
      </c>
      <c r="G28" s="93" t="s">
        <v>346</v>
      </c>
      <c r="H28" s="85"/>
      <c r="I28" s="85" t="s">
        <v>251</v>
      </c>
      <c r="J28" s="85" t="s">
        <v>251</v>
      </c>
      <c r="K28" s="91" t="s">
        <v>162</v>
      </c>
    </row>
    <row r="29" spans="2:11" ht="49.5" customHeight="1">
      <c r="B29" s="405"/>
      <c r="C29" s="178" t="s">
        <v>230</v>
      </c>
      <c r="D29" s="179" t="s">
        <v>347</v>
      </c>
      <c r="E29" s="85" t="s">
        <v>148</v>
      </c>
      <c r="F29" s="86" t="s">
        <v>342</v>
      </c>
      <c r="G29" s="67" t="s">
        <v>348</v>
      </c>
      <c r="H29" s="67"/>
      <c r="I29" s="67"/>
      <c r="J29" s="67" t="s">
        <v>251</v>
      </c>
      <c r="K29" s="91" t="s">
        <v>162</v>
      </c>
    </row>
    <row r="30" spans="2:11" ht="82.5" customHeight="1">
      <c r="B30" s="395" t="s">
        <v>231</v>
      </c>
      <c r="C30" s="177" t="s">
        <v>232</v>
      </c>
      <c r="D30" s="179" t="s">
        <v>349</v>
      </c>
      <c r="E30" s="81" t="s">
        <v>350</v>
      </c>
      <c r="F30" s="88" t="s">
        <v>335</v>
      </c>
      <c r="G30" s="67" t="s">
        <v>351</v>
      </c>
      <c r="H30" s="81" t="s">
        <v>251</v>
      </c>
      <c r="I30" s="81"/>
      <c r="J30" s="81" t="s">
        <v>251</v>
      </c>
      <c r="K30" s="91" t="s">
        <v>162</v>
      </c>
    </row>
    <row r="31" spans="2:11" ht="78.75" customHeight="1">
      <c r="B31" s="405"/>
      <c r="C31" s="173" t="s">
        <v>233</v>
      </c>
      <c r="D31" s="179" t="s">
        <v>352</v>
      </c>
      <c r="E31" s="81" t="s">
        <v>353</v>
      </c>
      <c r="F31" s="88" t="s">
        <v>335</v>
      </c>
      <c r="G31" s="67" t="s">
        <v>354</v>
      </c>
      <c r="H31" s="81" t="s">
        <v>251</v>
      </c>
      <c r="I31" s="81" t="s">
        <v>251</v>
      </c>
      <c r="J31" s="81" t="s">
        <v>251</v>
      </c>
      <c r="K31" s="91" t="s">
        <v>162</v>
      </c>
    </row>
    <row r="32" spans="2:11" ht="57.75" customHeight="1">
      <c r="B32" s="405"/>
      <c r="C32" s="173" t="s">
        <v>234</v>
      </c>
      <c r="D32" s="179" t="s">
        <v>355</v>
      </c>
      <c r="E32" s="81" t="s">
        <v>350</v>
      </c>
      <c r="F32" s="88" t="s">
        <v>335</v>
      </c>
      <c r="G32" s="67" t="s">
        <v>351</v>
      </c>
      <c r="H32" s="85" t="s">
        <v>251</v>
      </c>
      <c r="I32" s="85"/>
      <c r="J32" s="85" t="s">
        <v>251</v>
      </c>
      <c r="K32" s="91" t="s">
        <v>162</v>
      </c>
    </row>
    <row r="33" spans="2:11" ht="45" customHeight="1">
      <c r="B33" s="405"/>
      <c r="C33" s="178" t="s">
        <v>235</v>
      </c>
      <c r="D33" s="179" t="s">
        <v>356</v>
      </c>
      <c r="E33" s="81" t="s">
        <v>350</v>
      </c>
      <c r="F33" s="88" t="s">
        <v>335</v>
      </c>
      <c r="G33" s="67" t="s">
        <v>351</v>
      </c>
      <c r="H33" s="67" t="s">
        <v>251</v>
      </c>
      <c r="I33" s="67"/>
      <c r="J33" s="67" t="s">
        <v>251</v>
      </c>
      <c r="K33" s="91" t="s">
        <v>162</v>
      </c>
    </row>
    <row r="34" spans="2:11" ht="72" customHeight="1">
      <c r="B34" s="395" t="s">
        <v>236</v>
      </c>
      <c r="C34" s="177" t="s">
        <v>237</v>
      </c>
      <c r="D34" s="79" t="s">
        <v>357</v>
      </c>
      <c r="E34" s="81" t="s">
        <v>358</v>
      </c>
      <c r="F34" s="88" t="s">
        <v>359</v>
      </c>
      <c r="G34" s="81" t="s">
        <v>360</v>
      </c>
      <c r="H34" s="81" t="s">
        <v>251</v>
      </c>
      <c r="I34" s="81" t="s">
        <v>251</v>
      </c>
      <c r="J34" s="81" t="s">
        <v>251</v>
      </c>
      <c r="K34" s="83" t="s">
        <v>168</v>
      </c>
    </row>
    <row r="35" spans="2:11" ht="70.5" customHeight="1">
      <c r="B35" s="396"/>
      <c r="C35" s="174" t="s">
        <v>238</v>
      </c>
      <c r="D35" s="79" t="s">
        <v>357</v>
      </c>
      <c r="E35" s="81" t="s">
        <v>361</v>
      </c>
      <c r="F35" s="88" t="s">
        <v>359</v>
      </c>
      <c r="G35" s="81" t="s">
        <v>362</v>
      </c>
      <c r="H35" s="89" t="s">
        <v>251</v>
      </c>
      <c r="I35" s="89"/>
      <c r="J35" s="89" t="s">
        <v>251</v>
      </c>
      <c r="K35" s="83" t="s">
        <v>168</v>
      </c>
    </row>
    <row r="36" spans="2:11">
      <c r="C36" s="72"/>
      <c r="D36" s="92"/>
      <c r="E36" s="74"/>
      <c r="F36" s="73"/>
      <c r="H36" s="74"/>
      <c r="I36" s="74"/>
      <c r="J36" s="74"/>
      <c r="K36" s="74"/>
    </row>
    <row r="37" spans="2:11">
      <c r="C37" s="72"/>
      <c r="D37" s="92"/>
      <c r="E37" s="74"/>
      <c r="F37" s="73"/>
      <c r="H37" s="74"/>
      <c r="I37" s="74"/>
      <c r="J37" s="74"/>
      <c r="K37" s="74"/>
    </row>
    <row r="38" spans="2:11">
      <c r="C38" s="72"/>
      <c r="D38" s="92"/>
      <c r="E38" s="74"/>
      <c r="F38" s="73"/>
      <c r="H38" s="74"/>
      <c r="I38" s="74"/>
      <c r="J38" s="74"/>
      <c r="K38" s="74"/>
    </row>
    <row r="39" spans="2:11">
      <c r="C39" s="72"/>
      <c r="D39" s="92"/>
      <c r="E39" s="74"/>
      <c r="F39" s="73"/>
      <c r="H39" s="74"/>
      <c r="I39" s="74"/>
      <c r="J39" s="74"/>
      <c r="K39" s="74"/>
    </row>
    <row r="40" spans="2:11">
      <c r="C40" s="72"/>
      <c r="D40" s="92"/>
      <c r="E40" s="74"/>
      <c r="F40" s="73"/>
      <c r="H40" s="74"/>
      <c r="I40" s="74"/>
      <c r="J40" s="74"/>
      <c r="K40" s="74"/>
    </row>
    <row r="41" spans="2:11">
      <c r="C41" s="72"/>
      <c r="D41" s="92"/>
      <c r="E41" s="74"/>
      <c r="F41" s="73"/>
      <c r="H41" s="74"/>
      <c r="I41" s="74"/>
      <c r="J41" s="74"/>
      <c r="K41" s="74"/>
    </row>
    <row r="42" spans="2:11">
      <c r="C42" s="72"/>
      <c r="D42" s="92"/>
      <c r="E42" s="74"/>
      <c r="F42" s="73"/>
      <c r="H42" s="74"/>
      <c r="I42" s="74"/>
      <c r="J42" s="74"/>
      <c r="K42" s="74"/>
    </row>
    <row r="43" spans="2:11">
      <c r="C43" s="72"/>
      <c r="D43" s="92"/>
      <c r="E43" s="74"/>
      <c r="F43" s="73"/>
      <c r="H43" s="74"/>
      <c r="I43" s="74"/>
      <c r="J43" s="74"/>
      <c r="K43" s="74"/>
    </row>
    <row r="44" spans="2:11">
      <c r="C44" s="72"/>
      <c r="D44" s="92"/>
      <c r="E44" s="74"/>
      <c r="F44" s="73"/>
      <c r="H44" s="74"/>
      <c r="I44" s="74"/>
      <c r="J44" s="74"/>
      <c r="K44" s="74"/>
    </row>
    <row r="45" spans="2:11">
      <c r="C45" s="72"/>
      <c r="D45" s="92"/>
      <c r="E45" s="74"/>
      <c r="F45" s="73"/>
      <c r="H45" s="74"/>
      <c r="I45" s="74"/>
      <c r="J45" s="74"/>
      <c r="K45" s="74"/>
    </row>
    <row r="46" spans="2:11">
      <c r="C46" s="72"/>
      <c r="D46" s="92"/>
      <c r="E46" s="74"/>
      <c r="F46" s="73"/>
      <c r="H46" s="74"/>
      <c r="I46" s="74"/>
      <c r="J46" s="74"/>
      <c r="K46" s="74"/>
    </row>
    <row r="47" spans="2:11">
      <c r="C47" s="72"/>
      <c r="D47" s="92"/>
      <c r="E47" s="74"/>
      <c r="F47" s="73"/>
      <c r="H47" s="74"/>
      <c r="I47" s="74"/>
      <c r="J47" s="74"/>
      <c r="K47" s="74"/>
    </row>
    <row r="48" spans="2:11">
      <c r="C48" s="72"/>
      <c r="D48" s="92"/>
      <c r="E48" s="74"/>
      <c r="F48" s="73"/>
      <c r="H48" s="74"/>
      <c r="I48" s="74"/>
      <c r="J48" s="74"/>
      <c r="K48" s="74"/>
    </row>
    <row r="49" spans="3:11">
      <c r="C49" s="72"/>
      <c r="D49" s="92"/>
      <c r="E49" s="74"/>
      <c r="F49" s="73"/>
      <c r="H49" s="74"/>
      <c r="I49" s="74"/>
      <c r="J49" s="74"/>
      <c r="K49" s="74"/>
    </row>
    <row r="50" spans="3:11">
      <c r="C50" s="72"/>
      <c r="D50" s="92"/>
      <c r="E50" s="74"/>
      <c r="F50" s="73"/>
      <c r="H50" s="74"/>
      <c r="I50" s="74"/>
      <c r="J50" s="74"/>
      <c r="K50" s="74"/>
    </row>
    <row r="51" spans="3:11">
      <c r="C51" s="72"/>
      <c r="D51" s="92"/>
      <c r="E51" s="74"/>
      <c r="F51" s="73"/>
      <c r="H51" s="74"/>
      <c r="I51" s="74"/>
      <c r="J51" s="74"/>
      <c r="K51" s="74"/>
    </row>
    <row r="52" spans="3:11">
      <c r="C52" s="72"/>
      <c r="D52" s="92"/>
      <c r="E52" s="74"/>
      <c r="F52" s="73"/>
      <c r="H52" s="74"/>
      <c r="I52" s="74"/>
      <c r="J52" s="74"/>
      <c r="K52" s="74"/>
    </row>
  </sheetData>
  <mergeCells count="9">
    <mergeCell ref="B34:B35"/>
    <mergeCell ref="B21:B24"/>
    <mergeCell ref="G2:K2"/>
    <mergeCell ref="B16:B20"/>
    <mergeCell ref="B4:B6"/>
    <mergeCell ref="B7:B11"/>
    <mergeCell ref="B12:B15"/>
    <mergeCell ref="B25:B29"/>
    <mergeCell ref="B30:B33"/>
  </mergeCells>
  <phoneticPr fontId="2" type="noConversion"/>
  <pageMargins left="0.7" right="0.7" top="0.75" bottom="0.75" header="0.3" footer="0.3"/>
  <pageSetup paperSize="9" orientation="portrait" horizontalDpi="0" verticalDpi="0"/>
  <colBreaks count="3" manualBreakCount="3">
    <brk id="5" max="67" man="1"/>
    <brk id="6" max="67" man="1"/>
    <brk id="7" max="1048575" man="1"/>
  </colBreaks>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19E176E-604B-D24A-A2A2-1E27F8289E01}">
          <x14:formula1>
            <xm:f>'1.Métriques'!$B$29:$B$32</xm:f>
          </x14:formula1>
          <xm:sqref>K1 K3:K4 K6:K1048576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33A1-9E22-AA4C-BAC6-D1F31C98E227}">
  <sheetPr codeName="Feuil7">
    <tabColor theme="5" tint="0.79998168889431442"/>
  </sheetPr>
  <dimension ref="B2:C6"/>
  <sheetViews>
    <sheetView showGridLines="0" topLeftCell="A4" zoomScale="84" zoomScaleNormal="100" workbookViewId="0">
      <selection activeCell="C4" sqref="C4"/>
    </sheetView>
  </sheetViews>
  <sheetFormatPr defaultColWidth="11.42578125" defaultRowHeight="14.45"/>
  <cols>
    <col min="2" max="2" width="10.85546875" style="2"/>
    <col min="3" max="3" width="80.7109375" style="3" customWidth="1"/>
  </cols>
  <sheetData>
    <row r="2" spans="2:3">
      <c r="B2" s="5" t="s">
        <v>265</v>
      </c>
      <c r="C2" s="44" t="s">
        <v>363</v>
      </c>
    </row>
    <row r="3" spans="2:3" ht="179.25" customHeight="1">
      <c r="B3" s="43" t="s">
        <v>364</v>
      </c>
      <c r="C3" s="110" t="str" cm="1">
        <f t="array" ref="C3">_xlfn.TEXTJOIN(CHAR(10), TRUE, _xlfn._xlws.FILTER(Event[Evénements redoutés],Event[Gravité]="Négligeable "))</f>
        <v xml:space="preserve">- Commandes disparues
- Commandes faux positives
- Modification, fausses ou suppression des volontés
- Mauvaise entrée de données
- Achats réalisé en retard
- Mauvais suivi des achats </v>
      </c>
    </row>
    <row r="4" spans="2:3" ht="409.15" customHeight="1">
      <c r="B4" s="24" t="s">
        <v>162</v>
      </c>
      <c r="C4" s="260" t="str" cm="1">
        <f t="array" ref="C4">_xlfn.TEXTJOIN(CHAR(10), TRUE, _xlfn._xlws.FILTER(Event[Evénements redoutés],Event[Gravité]="Limitée"))</f>
        <v>- Modification, Création, Suppression de données
- Partie de l'infra qui ne répond plus (ERP, serveur de fichiers, messagerie, AD, etc.)
- Accès non autorisé
- Vol d'information
- Modification, création, suppression de données, 
- Vol d'information
- Accès non autorisé
- Espionnage
- Interception du contact
- Contacter un acteur malveillant
- Vol d'identifiants de compte (par le biais de phishing, etc.)
- Divulgation de données sensibles
- Création de faux dossiers clients
- Altération des dossiers clients (modification / Suppression)
- Accès non autorisé aux dossiers clients
- Vol de données
- Altération des dossiers clients (modification / Suppression)
- Accès non autorisé aux dossiers clients
- Vol de données
- Création de faux dossiers clients
- Altération des dossiers clients (modification / Suppression)
- Accès non autorisé aux dossiers clients
- Vol de données
- Mauvais archivage (archivage de dossiers en cours)
- Retard sur les achats
- Retard sur la fabrication (fournisseurs)
- Employés en sous-effectif
- Arrêt des machines
- Retard sur les achats
- Retard sur la personnalisation 
- Employés en sous-effectif
- Arrêt des machines
- Personnalisation indisponible
- Employés en sous-effectif 
- Retard sur le contrôle qualité 
- Serveur de fichier en panne 
- Mauvais jugement sur les stocks
- Erreur d'achats, fournisseurs
- Problèmes sur la qualité
- Mauvaise plannification
- Employé en sous-effectif
- Mauvaise coordination sur la réception
- Manque de personnel
- Dossier incomplet
- Mauvaise prévision 
- Date repoussé
- Mauvaise prévision
- Dossier incomplet
- Inventaire faussé/pas fait
- Non accès à la base de données de l'inventaire
- Manque de personnel
- Retard sur l'expédition (traffic, externe)
- Système HS (ERP)
- Mauvaise traçabilité
- Retard sur l'expédition (traffic, externe)
- Système HS (ERP)</v>
      </c>
    </row>
    <row r="5" spans="2:3" ht="277.5" customHeight="1">
      <c r="B5" s="190" t="s">
        <v>365</v>
      </c>
      <c r="C5" s="191" t="str" cm="1">
        <f t="array" ref="C5">_xlfn.TEXTJOIN(CHAR(10), TRUE, _xlfn._xlws.FILTER(Event[Evénements redoutés],Event[Gravité]="Importante"))</f>
        <v>- Expositions involontaires de données sensibles
- Injections de commandes / scripts malveillants
- Modification du site (liens malveillants, messages, diffamation, etc.)
- Mauvaise redirection
- Paiement effectué au mauvais destinataire
- Paiement jamais reçu
- Montant invalide
- Vol d'informations carte bleue
- Fausses factures reçues / émises
- Vol de données
- Faux / mauvais destinataire
- Paie au mauvais destinataire
- Paie envoyé au mauvais moment 
- Paie donnée avec un mauvais montant
- Accès non autorisé aux données sensibles (bulletins de paie) 
- Accès non autorisé aux factures, achats
- Réception de faux documents de trésorerie</v>
      </c>
    </row>
    <row r="6" spans="2:3" ht="409.15" customHeight="1">
      <c r="B6" s="24" t="s">
        <v>168</v>
      </c>
      <c r="C6" s="109" t="str" cm="1">
        <f t="array" ref="C6">_xlfn.TEXTJOIN(CHAR(10), TRUE, _xlfn._xlws.FILTER(Event[Evénements redoutés],Event[Gravité]="Critique"))</f>
        <v xml:space="preserve">- Pannes des serveurs
- Mauvaise remontée de logs
- Alertes mal répertoriées (criticité)
- Permissions mal attribuées
- Utilisateurs pas mis à jour
- Compromission des données
- Accès non autorisé
- Vol de credentials
- Backup non opérationnel / non accessible
- Outils de sécurité qui ne fonctionnent plus
- Serveur web mis hors service
- Corruption de services (gestionnaire de secrets, gestionnaires des parc, etc.)
- Destruction de l'infrastructure
- Matériel non mis à jour
- Installation d'un malware ou de paquets malveillants
- Altération ou Suppression des données, logs et de l'infrastructure
- Accès non autorisé aux autres services liés
- Modification des comptes
- Vol d'identifiants
- Vol d'argent
- Réception de faux documents de trésorerie
- Dépenses non prévues / justifiées
- Manque de personnel
- Trop de tâches en même temps
- Site qui ne fonctionne plus 
- Site qui est piraté 
- Manque de personnel
- Trop de tâches en même temps
- Site qui ne fonctionne plus 
- Site qui est piraté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05C2-AA11-764C-AE23-2110D0F25EF3}">
  <sheetPr codeName="Feuil8">
    <tabColor theme="7" tint="0.79998168889431442"/>
  </sheetPr>
  <dimension ref="A1:N136"/>
  <sheetViews>
    <sheetView showGridLines="0" topLeftCell="A123" zoomScale="70" zoomScaleNormal="70" workbookViewId="0">
      <selection activeCell="F143" sqref="F143"/>
    </sheetView>
  </sheetViews>
  <sheetFormatPr defaultColWidth="11.42578125" defaultRowHeight="14.45"/>
  <cols>
    <col min="1" max="1" width="2.140625" customWidth="1"/>
    <col min="2" max="2" width="3.42578125" style="99" bestFit="1" customWidth="1"/>
    <col min="3" max="3" width="33" style="12" bestFit="1" customWidth="1"/>
    <col min="4" max="4" width="37.140625" style="11" customWidth="1"/>
    <col min="5" max="5" width="16.85546875" style="2" customWidth="1"/>
    <col min="8" max="8" width="15" customWidth="1"/>
  </cols>
  <sheetData>
    <row r="1" spans="1:14" ht="8.1" customHeight="1">
      <c r="A1" s="50"/>
      <c r="B1" s="97"/>
      <c r="C1" s="51"/>
      <c r="D1" s="51"/>
      <c r="E1" s="50"/>
      <c r="F1" s="50"/>
      <c r="G1" s="50"/>
      <c r="H1" s="50"/>
      <c r="I1" s="50"/>
      <c r="J1" s="50"/>
      <c r="K1" s="50"/>
      <c r="L1" s="50"/>
      <c r="M1" s="50"/>
      <c r="N1" s="50"/>
    </row>
    <row r="2" spans="1:14" ht="15" thickBot="1">
      <c r="A2" s="50"/>
      <c r="B2" s="98"/>
      <c r="C2" s="329" t="s">
        <v>366</v>
      </c>
      <c r="D2" s="330" t="s">
        <v>367</v>
      </c>
      <c r="E2" s="331" t="s">
        <v>368</v>
      </c>
      <c r="F2" s="50"/>
      <c r="G2" s="50"/>
      <c r="H2" s="51"/>
      <c r="I2" s="50"/>
      <c r="J2" s="50"/>
      <c r="K2" s="50"/>
      <c r="L2" s="50"/>
      <c r="M2" s="50"/>
      <c r="N2" s="50"/>
    </row>
    <row r="3" spans="1:14" ht="45.75" customHeight="1">
      <c r="A3" s="50"/>
      <c r="B3" s="423" t="s">
        <v>254</v>
      </c>
      <c r="C3" s="321" t="s">
        <v>369</v>
      </c>
      <c r="D3" s="61" t="s">
        <v>370</v>
      </c>
      <c r="E3" s="322" t="s">
        <v>181</v>
      </c>
      <c r="F3" s="50"/>
      <c r="G3" s="50"/>
      <c r="H3" s="51"/>
      <c r="I3" s="50"/>
      <c r="J3" s="50"/>
      <c r="K3" s="50"/>
      <c r="L3" s="50"/>
      <c r="M3" s="50"/>
      <c r="N3" s="50"/>
    </row>
    <row r="4" spans="1:14" ht="28.9">
      <c r="A4" s="50"/>
      <c r="B4" s="415"/>
      <c r="C4" s="323" t="s">
        <v>371</v>
      </c>
      <c r="D4" s="62" t="s">
        <v>372</v>
      </c>
      <c r="E4" s="324" t="s">
        <v>178</v>
      </c>
      <c r="F4" s="50"/>
      <c r="G4" s="50"/>
      <c r="H4" s="51"/>
      <c r="I4" s="50"/>
      <c r="J4" s="50"/>
      <c r="K4" s="50"/>
      <c r="L4" s="50"/>
      <c r="M4" s="50"/>
      <c r="N4" s="50"/>
    </row>
    <row r="5" spans="1:14" ht="28.9">
      <c r="A5" s="50"/>
      <c r="B5" s="415"/>
      <c r="C5" s="323" t="s">
        <v>373</v>
      </c>
      <c r="D5" s="62" t="s">
        <v>374</v>
      </c>
      <c r="E5" s="324" t="s">
        <v>178</v>
      </c>
      <c r="F5" s="50"/>
      <c r="G5" s="50"/>
      <c r="H5" s="51"/>
      <c r="I5" s="50"/>
      <c r="J5" s="50"/>
      <c r="K5" s="50"/>
      <c r="L5" s="50"/>
      <c r="M5" s="50"/>
      <c r="N5" s="50"/>
    </row>
    <row r="6" spans="1:14" ht="48.75" customHeight="1">
      <c r="A6" s="50"/>
      <c r="B6" s="415"/>
      <c r="C6" s="323" t="s">
        <v>375</v>
      </c>
      <c r="D6" s="62" t="s">
        <v>376</v>
      </c>
      <c r="E6" s="324" t="s">
        <v>181</v>
      </c>
      <c r="F6" s="50"/>
      <c r="G6" s="50"/>
      <c r="H6" s="50"/>
      <c r="I6" s="50"/>
      <c r="J6" s="50"/>
      <c r="K6" s="50"/>
      <c r="L6" s="50"/>
      <c r="M6" s="50"/>
      <c r="N6" s="50"/>
    </row>
    <row r="7" spans="1:14" ht="40.9" customHeight="1">
      <c r="A7" s="50"/>
      <c r="B7" s="415"/>
      <c r="C7" s="323" t="s">
        <v>377</v>
      </c>
      <c r="D7" s="62" t="s">
        <v>378</v>
      </c>
      <c r="E7" s="324" t="s">
        <v>175</v>
      </c>
      <c r="F7" s="50"/>
      <c r="G7" s="50"/>
      <c r="H7" s="50"/>
      <c r="I7" s="50"/>
      <c r="J7" s="50"/>
      <c r="K7" s="50"/>
      <c r="L7" s="50"/>
      <c r="M7" s="50"/>
      <c r="N7" s="50"/>
    </row>
    <row r="8" spans="1:14" ht="48.6" hidden="1" customHeight="1">
      <c r="A8" s="50"/>
      <c r="B8" s="415"/>
      <c r="C8" s="323"/>
      <c r="D8" s="62"/>
      <c r="E8" s="324"/>
      <c r="F8" s="50"/>
      <c r="G8" s="50"/>
      <c r="H8" s="50"/>
      <c r="I8" s="50"/>
      <c r="J8" s="50"/>
      <c r="K8" s="50"/>
      <c r="L8" s="50"/>
      <c r="M8" s="50"/>
      <c r="N8" s="50"/>
    </row>
    <row r="9" spans="1:14" ht="48.75" customHeight="1">
      <c r="A9" s="50"/>
      <c r="B9" s="415"/>
      <c r="C9" s="323" t="s">
        <v>379</v>
      </c>
      <c r="D9" s="62" t="s">
        <v>380</v>
      </c>
      <c r="E9" s="324" t="s">
        <v>178</v>
      </c>
      <c r="F9" s="50"/>
      <c r="G9" s="50"/>
      <c r="H9" s="50"/>
      <c r="I9" s="50"/>
      <c r="J9" s="50"/>
      <c r="K9" s="50"/>
      <c r="L9" s="50"/>
      <c r="M9" s="50"/>
      <c r="N9" s="50"/>
    </row>
    <row r="10" spans="1:14" ht="48.75" customHeight="1" thickBot="1">
      <c r="A10" s="50"/>
      <c r="B10" s="416"/>
      <c r="C10" s="332" t="s">
        <v>381</v>
      </c>
      <c r="D10" s="60" t="s">
        <v>382</v>
      </c>
      <c r="E10" s="333" t="s">
        <v>178</v>
      </c>
      <c r="F10" s="50"/>
      <c r="G10" s="50"/>
      <c r="H10" s="50"/>
      <c r="I10" s="50"/>
      <c r="J10" s="50"/>
      <c r="K10" s="50"/>
      <c r="L10" s="50"/>
      <c r="M10" s="50"/>
      <c r="N10" s="50"/>
    </row>
    <row r="11" spans="1:14" ht="48.75" customHeight="1">
      <c r="A11" s="50"/>
      <c r="B11" s="415" t="s">
        <v>383</v>
      </c>
      <c r="C11" s="104" t="s">
        <v>384</v>
      </c>
      <c r="D11" s="94" t="s">
        <v>385</v>
      </c>
      <c r="E11" s="105" t="s">
        <v>178</v>
      </c>
      <c r="F11" s="50"/>
      <c r="G11" s="50"/>
      <c r="H11" s="50"/>
      <c r="I11" s="50"/>
      <c r="J11" s="50"/>
      <c r="K11" s="50"/>
      <c r="L11" s="50"/>
      <c r="M11" s="50"/>
      <c r="N11" s="50"/>
    </row>
    <row r="12" spans="1:14" ht="48.75" customHeight="1">
      <c r="A12" s="50"/>
      <c r="B12" s="415"/>
      <c r="C12" s="101" t="s">
        <v>386</v>
      </c>
      <c r="D12" s="64" t="s">
        <v>387</v>
      </c>
      <c r="E12" s="102" t="s">
        <v>175</v>
      </c>
      <c r="F12" s="50"/>
      <c r="G12" s="50"/>
      <c r="H12" s="50"/>
      <c r="I12" s="50"/>
      <c r="J12" s="50"/>
      <c r="K12" s="50"/>
      <c r="L12" s="50"/>
      <c r="M12" s="50"/>
      <c r="N12" s="50"/>
    </row>
    <row r="13" spans="1:14" ht="48.75" customHeight="1" thickBot="1">
      <c r="A13" s="50"/>
      <c r="B13" s="416"/>
      <c r="C13" s="101" t="s">
        <v>388</v>
      </c>
      <c r="D13" s="64" t="s">
        <v>382</v>
      </c>
      <c r="E13" s="102" t="s">
        <v>175</v>
      </c>
      <c r="F13" s="50"/>
      <c r="G13" s="50"/>
      <c r="H13" s="50"/>
      <c r="I13" s="50"/>
      <c r="J13" s="50"/>
      <c r="K13" s="50"/>
      <c r="L13" s="50"/>
      <c r="M13" s="50"/>
      <c r="N13" s="50"/>
    </row>
    <row r="14" spans="1:14" ht="48.75" customHeight="1">
      <c r="A14" s="50"/>
      <c r="B14" s="423" t="s">
        <v>389</v>
      </c>
      <c r="C14" s="321" t="s">
        <v>390</v>
      </c>
      <c r="D14" s="61" t="s">
        <v>391</v>
      </c>
      <c r="E14" s="322" t="s">
        <v>175</v>
      </c>
      <c r="F14" s="50"/>
      <c r="G14" s="50"/>
      <c r="H14" s="50"/>
      <c r="I14" s="50"/>
      <c r="J14" s="50"/>
      <c r="K14" s="50"/>
      <c r="L14" s="50"/>
      <c r="M14" s="50"/>
      <c r="N14" s="50"/>
    </row>
    <row r="15" spans="1:14" ht="48.75" customHeight="1">
      <c r="A15" s="50"/>
      <c r="B15" s="415"/>
      <c r="C15" s="323" t="s">
        <v>392</v>
      </c>
      <c r="D15" s="62" t="s">
        <v>393</v>
      </c>
      <c r="E15" s="324" t="s">
        <v>172</v>
      </c>
      <c r="F15" s="50"/>
      <c r="G15" s="50"/>
      <c r="H15" s="50"/>
      <c r="I15" s="50"/>
      <c r="J15" s="50"/>
      <c r="K15" s="50"/>
      <c r="L15" s="50"/>
      <c r="M15" s="50"/>
      <c r="N15" s="50"/>
    </row>
    <row r="16" spans="1:14" ht="48.75" customHeight="1">
      <c r="A16" s="50"/>
      <c r="B16" s="415"/>
      <c r="C16" s="323" t="s">
        <v>394</v>
      </c>
      <c r="D16" s="62" t="s">
        <v>395</v>
      </c>
      <c r="E16" s="324" t="s">
        <v>178</v>
      </c>
      <c r="F16" s="50"/>
      <c r="G16" s="50"/>
      <c r="H16" s="50"/>
      <c r="I16" s="50"/>
      <c r="J16" s="50"/>
      <c r="K16" s="50"/>
      <c r="L16" s="50"/>
      <c r="M16" s="50"/>
      <c r="N16" s="50"/>
    </row>
    <row r="17" spans="1:14" ht="48.75" customHeight="1">
      <c r="A17" s="50"/>
      <c r="B17" s="415"/>
      <c r="C17" s="323" t="s">
        <v>396</v>
      </c>
      <c r="D17" s="62" t="s">
        <v>397</v>
      </c>
      <c r="E17" s="324" t="s">
        <v>175</v>
      </c>
      <c r="F17" s="50"/>
      <c r="G17" s="50"/>
      <c r="H17" s="50"/>
      <c r="I17" s="50"/>
      <c r="J17" s="50"/>
      <c r="K17" s="50"/>
      <c r="L17" s="50"/>
      <c r="M17" s="50"/>
      <c r="N17" s="50"/>
    </row>
    <row r="18" spans="1:14" ht="48.75" customHeight="1">
      <c r="A18" s="50"/>
      <c r="B18" s="415"/>
      <c r="C18" s="323" t="s">
        <v>398</v>
      </c>
      <c r="D18" s="62" t="s">
        <v>61</v>
      </c>
      <c r="E18" s="324" t="s">
        <v>175</v>
      </c>
      <c r="F18" s="50"/>
      <c r="G18" s="50"/>
      <c r="H18" s="50"/>
      <c r="I18" s="50"/>
      <c r="J18" s="50"/>
      <c r="K18" s="50"/>
      <c r="L18" s="50"/>
      <c r="M18" s="50"/>
      <c r="N18" s="50"/>
    </row>
    <row r="19" spans="1:14" ht="48.75" customHeight="1">
      <c r="B19" s="415"/>
      <c r="C19" s="325" t="s">
        <v>399</v>
      </c>
      <c r="D19" s="4" t="s">
        <v>61</v>
      </c>
      <c r="E19" s="326" t="s">
        <v>175</v>
      </c>
      <c r="F19" s="50"/>
      <c r="G19" s="50"/>
      <c r="H19" s="50"/>
      <c r="I19" s="50"/>
      <c r="J19" s="50"/>
      <c r="K19" s="50"/>
      <c r="L19" s="50"/>
      <c r="M19" s="50"/>
      <c r="N19" s="50"/>
    </row>
    <row r="20" spans="1:14" ht="48.75" customHeight="1" thickBot="1">
      <c r="B20" s="416"/>
      <c r="C20" s="343" t="s">
        <v>400</v>
      </c>
      <c r="D20" s="18" t="s">
        <v>401</v>
      </c>
      <c r="E20" s="336" t="s">
        <v>175</v>
      </c>
      <c r="F20" s="50"/>
      <c r="G20" s="50"/>
      <c r="H20" s="50"/>
      <c r="I20" s="50"/>
      <c r="J20" s="50"/>
      <c r="K20" s="50"/>
      <c r="L20" s="50"/>
      <c r="M20" s="50"/>
      <c r="N20" s="50"/>
    </row>
    <row r="21" spans="1:14" ht="48.75" customHeight="1">
      <c r="A21" s="50"/>
      <c r="B21" s="423" t="s">
        <v>30</v>
      </c>
      <c r="C21" s="321" t="s">
        <v>402</v>
      </c>
      <c r="D21" s="61" t="s">
        <v>403</v>
      </c>
      <c r="E21" s="322" t="s">
        <v>178</v>
      </c>
      <c r="F21" s="50"/>
      <c r="G21" s="50"/>
      <c r="H21" s="50"/>
      <c r="I21" s="50"/>
      <c r="J21" s="50"/>
      <c r="K21" s="50"/>
      <c r="L21" s="50"/>
      <c r="M21" s="50"/>
      <c r="N21" s="50"/>
    </row>
    <row r="22" spans="1:14" ht="48.75" customHeight="1">
      <c r="A22" s="50"/>
      <c r="B22" s="415"/>
      <c r="C22" s="323" t="s">
        <v>404</v>
      </c>
      <c r="D22" s="62" t="s">
        <v>405</v>
      </c>
      <c r="E22" s="324" t="s">
        <v>175</v>
      </c>
      <c r="F22" s="50"/>
      <c r="G22" s="50"/>
      <c r="H22" s="50"/>
      <c r="I22" s="50"/>
      <c r="J22" s="50"/>
      <c r="K22" s="50"/>
      <c r="L22" s="50"/>
      <c r="M22" s="50"/>
      <c r="N22" s="50"/>
    </row>
    <row r="23" spans="1:14" ht="48.75" customHeight="1">
      <c r="A23" s="50"/>
      <c r="B23" s="415"/>
      <c r="C23" s="323" t="s">
        <v>406</v>
      </c>
      <c r="D23" s="62" t="s">
        <v>401</v>
      </c>
      <c r="E23" s="324" t="s">
        <v>172</v>
      </c>
      <c r="F23" s="50"/>
      <c r="G23" s="50"/>
      <c r="H23" s="50"/>
      <c r="I23" s="50"/>
      <c r="J23" s="50"/>
      <c r="K23" s="50"/>
      <c r="L23" s="50"/>
      <c r="M23" s="50"/>
      <c r="N23" s="50"/>
    </row>
    <row r="24" spans="1:14" ht="48.75" customHeight="1">
      <c r="A24" s="50"/>
      <c r="B24" s="415"/>
      <c r="C24" s="323" t="s">
        <v>407</v>
      </c>
      <c r="D24" s="62" t="s">
        <v>391</v>
      </c>
      <c r="E24" s="324" t="s">
        <v>175</v>
      </c>
      <c r="F24" s="50"/>
      <c r="G24" s="50"/>
      <c r="H24" s="50"/>
      <c r="I24" s="50"/>
      <c r="J24" s="50"/>
      <c r="K24" s="50"/>
      <c r="L24" s="50"/>
      <c r="M24" s="50"/>
      <c r="N24" s="50"/>
    </row>
    <row r="25" spans="1:14" ht="48.75" customHeight="1">
      <c r="B25" s="415"/>
      <c r="C25" s="325" t="s">
        <v>408</v>
      </c>
      <c r="D25" s="4" t="s">
        <v>4</v>
      </c>
      <c r="E25" s="326" t="s">
        <v>181</v>
      </c>
      <c r="F25" s="50"/>
      <c r="G25" s="50"/>
      <c r="H25" s="50"/>
      <c r="I25" s="50"/>
      <c r="J25" s="50"/>
      <c r="K25" s="50"/>
      <c r="L25" s="50"/>
      <c r="M25" s="50"/>
      <c r="N25" s="50"/>
    </row>
    <row r="26" spans="1:14" ht="48.75" customHeight="1" thickBot="1">
      <c r="B26" s="415"/>
      <c r="C26" s="343" t="s">
        <v>409</v>
      </c>
      <c r="D26" s="18" t="s">
        <v>4</v>
      </c>
      <c r="E26" s="336" t="s">
        <v>175</v>
      </c>
      <c r="F26" s="50"/>
      <c r="G26" s="50"/>
      <c r="H26" s="50"/>
      <c r="I26" s="50"/>
      <c r="J26" s="50"/>
      <c r="K26" s="50"/>
      <c r="L26" s="50"/>
      <c r="M26" s="50"/>
      <c r="N26" s="50"/>
    </row>
    <row r="27" spans="1:14" ht="48.75" customHeight="1">
      <c r="A27" s="50"/>
      <c r="B27" s="408" t="s">
        <v>6</v>
      </c>
      <c r="C27" s="321" t="s">
        <v>410</v>
      </c>
      <c r="D27" s="61" t="s">
        <v>411</v>
      </c>
      <c r="E27" s="322" t="s">
        <v>181</v>
      </c>
      <c r="F27" s="50"/>
      <c r="G27" s="50"/>
      <c r="H27" s="50"/>
      <c r="I27" s="50"/>
      <c r="J27" s="50"/>
      <c r="K27" s="50"/>
      <c r="L27" s="50"/>
      <c r="M27" s="50"/>
      <c r="N27" s="50"/>
    </row>
    <row r="28" spans="1:14" ht="48.75" customHeight="1">
      <c r="A28" s="50"/>
      <c r="B28" s="409"/>
      <c r="C28" s="323" t="s">
        <v>412</v>
      </c>
      <c r="D28" s="62" t="s">
        <v>413</v>
      </c>
      <c r="E28" s="324" t="s">
        <v>172</v>
      </c>
      <c r="F28" s="50"/>
      <c r="G28" s="50"/>
      <c r="H28" s="50"/>
      <c r="I28" s="50"/>
      <c r="J28" s="50"/>
      <c r="K28" s="50"/>
      <c r="L28" s="50"/>
      <c r="M28" s="50"/>
      <c r="N28" s="50"/>
    </row>
    <row r="29" spans="1:14" ht="48.75" customHeight="1">
      <c r="A29" s="50"/>
      <c r="B29" s="409"/>
      <c r="C29" s="323" t="s">
        <v>414</v>
      </c>
      <c r="D29" s="62" t="s">
        <v>415</v>
      </c>
      <c r="E29" s="324" t="s">
        <v>172</v>
      </c>
      <c r="F29" s="50"/>
      <c r="G29" s="50"/>
      <c r="H29" s="50"/>
      <c r="I29" s="50"/>
      <c r="J29" s="50"/>
      <c r="K29" s="50"/>
      <c r="L29" s="50"/>
      <c r="M29" s="50"/>
      <c r="N29" s="50"/>
    </row>
    <row r="30" spans="1:14" ht="48.75" customHeight="1">
      <c r="A30" s="50"/>
      <c r="B30" s="409"/>
      <c r="C30" s="323" t="s">
        <v>416</v>
      </c>
      <c r="D30" s="62" t="s">
        <v>378</v>
      </c>
      <c r="E30" s="324" t="s">
        <v>172</v>
      </c>
      <c r="F30" s="50"/>
      <c r="G30" s="50"/>
      <c r="H30" s="50"/>
      <c r="I30" s="50"/>
      <c r="J30" s="50"/>
      <c r="K30" s="50"/>
      <c r="L30" s="50"/>
      <c r="M30" s="50"/>
      <c r="N30" s="50"/>
    </row>
    <row r="31" spans="1:14" ht="48.75" customHeight="1">
      <c r="A31" s="50"/>
      <c r="B31" s="409"/>
      <c r="C31" s="323" t="s">
        <v>417</v>
      </c>
      <c r="D31" s="62" t="s">
        <v>411</v>
      </c>
      <c r="E31" s="324" t="s">
        <v>181</v>
      </c>
      <c r="F31" s="50"/>
      <c r="G31" s="50"/>
      <c r="H31" s="50"/>
      <c r="I31" s="50"/>
      <c r="J31" s="50"/>
      <c r="K31" s="50"/>
      <c r="L31" s="50"/>
      <c r="M31" s="50"/>
      <c r="N31" s="50"/>
    </row>
    <row r="32" spans="1:14" ht="48.75" customHeight="1">
      <c r="A32" s="50"/>
      <c r="B32" s="409"/>
      <c r="C32" s="323" t="s">
        <v>418</v>
      </c>
      <c r="D32" s="62" t="s">
        <v>419</v>
      </c>
      <c r="E32" s="324" t="s">
        <v>175</v>
      </c>
      <c r="F32" s="50"/>
      <c r="G32" s="50"/>
      <c r="H32" s="50"/>
      <c r="I32" s="50"/>
      <c r="J32" s="50"/>
      <c r="K32" s="50"/>
      <c r="L32" s="50"/>
      <c r="M32" s="50"/>
      <c r="N32" s="50"/>
    </row>
    <row r="33" spans="1:14" ht="48.75" customHeight="1">
      <c r="B33" s="409"/>
      <c r="C33" s="325" t="s">
        <v>420</v>
      </c>
      <c r="D33" s="62" t="s">
        <v>58</v>
      </c>
      <c r="E33" s="324" t="s">
        <v>175</v>
      </c>
      <c r="F33" s="50"/>
      <c r="G33" s="50"/>
      <c r="H33" s="50"/>
      <c r="I33" s="50"/>
      <c r="J33" s="50"/>
      <c r="K33" s="50"/>
      <c r="L33" s="50"/>
      <c r="M33" s="50"/>
      <c r="N33" s="50"/>
    </row>
    <row r="34" spans="1:14" ht="48.75" customHeight="1">
      <c r="B34" s="409"/>
      <c r="C34" s="325" t="s">
        <v>421</v>
      </c>
      <c r="D34" s="62" t="s">
        <v>422</v>
      </c>
      <c r="E34" s="326" t="s">
        <v>172</v>
      </c>
      <c r="F34" s="50"/>
      <c r="G34" s="50"/>
      <c r="H34" s="50"/>
      <c r="I34" s="50"/>
      <c r="J34" s="50"/>
      <c r="K34" s="50"/>
      <c r="L34" s="50"/>
      <c r="M34" s="50"/>
      <c r="N34" s="50"/>
    </row>
    <row r="35" spans="1:14" ht="48.75" customHeight="1">
      <c r="B35" s="409"/>
      <c r="C35" s="325" t="s">
        <v>423</v>
      </c>
      <c r="D35" s="62" t="s">
        <v>422</v>
      </c>
      <c r="E35" s="326" t="s">
        <v>181</v>
      </c>
      <c r="F35" s="50"/>
      <c r="G35" s="50"/>
      <c r="H35" s="50"/>
      <c r="I35" s="50"/>
      <c r="J35" s="50"/>
      <c r="K35" s="50"/>
      <c r="L35" s="50"/>
      <c r="M35" s="50"/>
      <c r="N35" s="50"/>
    </row>
    <row r="36" spans="1:14" ht="48.75" customHeight="1" thickBot="1">
      <c r="B36" s="410"/>
      <c r="C36" s="343" t="s">
        <v>424</v>
      </c>
      <c r="D36" s="341" t="s">
        <v>422</v>
      </c>
      <c r="E36" s="336" t="s">
        <v>178</v>
      </c>
      <c r="F36" s="50"/>
      <c r="G36" s="50"/>
      <c r="H36" s="50"/>
      <c r="I36" s="50"/>
      <c r="J36" s="50"/>
      <c r="K36" s="50"/>
      <c r="L36" s="50"/>
      <c r="M36" s="50"/>
      <c r="N36" s="50"/>
    </row>
    <row r="37" spans="1:14" ht="48.75" customHeight="1">
      <c r="A37" s="50"/>
      <c r="B37" s="424" t="s">
        <v>425</v>
      </c>
      <c r="C37" s="321" t="s">
        <v>426</v>
      </c>
      <c r="D37" s="61" t="s">
        <v>58</v>
      </c>
      <c r="E37" s="322" t="s">
        <v>172</v>
      </c>
      <c r="F37" s="50"/>
      <c r="G37" s="50"/>
      <c r="H37" s="50"/>
      <c r="I37" s="50"/>
      <c r="J37" s="50"/>
      <c r="K37" s="50"/>
      <c r="L37" s="50"/>
      <c r="M37" s="50"/>
      <c r="N37" s="50"/>
    </row>
    <row r="38" spans="1:14" ht="48.75" customHeight="1">
      <c r="A38" s="50"/>
      <c r="B38" s="422"/>
      <c r="C38" s="323" t="s">
        <v>427</v>
      </c>
      <c r="D38" s="62" t="s">
        <v>401</v>
      </c>
      <c r="E38" s="324" t="s">
        <v>175</v>
      </c>
      <c r="F38" s="50"/>
      <c r="G38" s="50"/>
      <c r="H38" s="50"/>
      <c r="I38" s="50"/>
      <c r="J38" s="50"/>
      <c r="K38" s="50"/>
      <c r="L38" s="50"/>
      <c r="M38" s="50"/>
      <c r="N38" s="50"/>
    </row>
    <row r="39" spans="1:14" ht="48.75" customHeight="1">
      <c r="A39" s="50"/>
      <c r="B39" s="422"/>
      <c r="C39" s="323" t="s">
        <v>428</v>
      </c>
      <c r="D39" s="62" t="s">
        <v>395</v>
      </c>
      <c r="E39" s="324" t="s">
        <v>181</v>
      </c>
      <c r="F39" s="50"/>
      <c r="G39" s="50"/>
      <c r="H39" s="50"/>
      <c r="I39" s="50"/>
      <c r="J39" s="50"/>
      <c r="K39" s="50"/>
      <c r="L39" s="50"/>
      <c r="M39" s="50"/>
      <c r="N39" s="50"/>
    </row>
    <row r="40" spans="1:14" ht="48.75" customHeight="1">
      <c r="A40" s="50"/>
      <c r="B40" s="422"/>
      <c r="C40" s="323" t="s">
        <v>429</v>
      </c>
      <c r="D40" s="62" t="s">
        <v>401</v>
      </c>
      <c r="E40" s="324" t="s">
        <v>175</v>
      </c>
      <c r="F40" s="50"/>
      <c r="G40" s="50"/>
      <c r="H40" s="50"/>
      <c r="I40" s="50"/>
      <c r="J40" s="50"/>
      <c r="K40" s="50"/>
      <c r="L40" s="50"/>
      <c r="M40" s="50"/>
      <c r="N40" s="50"/>
    </row>
    <row r="41" spans="1:14" ht="48.75" customHeight="1">
      <c r="A41" s="50"/>
      <c r="B41" s="422"/>
      <c r="C41" s="323" t="s">
        <v>430</v>
      </c>
      <c r="D41" s="62" t="s">
        <v>58</v>
      </c>
      <c r="E41" s="324" t="s">
        <v>172</v>
      </c>
      <c r="F41" s="50"/>
      <c r="G41" s="50"/>
      <c r="H41" s="50"/>
      <c r="I41" s="50"/>
      <c r="J41" s="50"/>
      <c r="K41" s="50"/>
      <c r="L41" s="50"/>
      <c r="M41" s="50"/>
      <c r="N41" s="50"/>
    </row>
    <row r="42" spans="1:14" ht="48.75" customHeight="1">
      <c r="A42" s="50"/>
      <c r="B42" s="422"/>
      <c r="C42" s="323" t="s">
        <v>431</v>
      </c>
      <c r="D42" s="62" t="s">
        <v>401</v>
      </c>
      <c r="E42" s="324" t="s">
        <v>178</v>
      </c>
      <c r="F42" s="50"/>
      <c r="G42" s="50"/>
      <c r="H42" s="50"/>
      <c r="I42" s="50"/>
      <c r="J42" s="50"/>
      <c r="K42" s="50"/>
      <c r="L42" s="50"/>
      <c r="M42" s="50"/>
      <c r="N42" s="50"/>
    </row>
    <row r="43" spans="1:14" ht="48.75" customHeight="1">
      <c r="B43" s="422"/>
      <c r="C43" s="325" t="s">
        <v>432</v>
      </c>
      <c r="D43" s="334" t="s">
        <v>422</v>
      </c>
      <c r="E43" s="326" t="s">
        <v>172</v>
      </c>
      <c r="F43" s="50"/>
      <c r="G43" s="50"/>
      <c r="H43" s="50"/>
      <c r="I43" s="50"/>
      <c r="J43" s="50"/>
      <c r="K43" s="50"/>
      <c r="L43" s="50"/>
      <c r="M43" s="50"/>
      <c r="N43" s="50"/>
    </row>
    <row r="44" spans="1:14" ht="48.75" customHeight="1">
      <c r="B44" s="422"/>
      <c r="C44" s="325" t="s">
        <v>433</v>
      </c>
      <c r="D44" s="334" t="s">
        <v>422</v>
      </c>
      <c r="E44" s="326" t="s">
        <v>181</v>
      </c>
      <c r="F44" s="50"/>
      <c r="G44" s="50"/>
      <c r="H44" s="50"/>
      <c r="I44" s="50"/>
      <c r="J44" s="50"/>
      <c r="K44" s="50"/>
      <c r="L44" s="50"/>
      <c r="M44" s="50"/>
      <c r="N44" s="50"/>
    </row>
    <row r="45" spans="1:14" ht="48.75" customHeight="1" thickBot="1">
      <c r="B45" s="425"/>
      <c r="C45" s="343" t="s">
        <v>434</v>
      </c>
      <c r="D45" s="341" t="s">
        <v>422</v>
      </c>
      <c r="E45" s="336" t="s">
        <v>178</v>
      </c>
      <c r="F45" s="50"/>
      <c r="G45" s="50"/>
      <c r="H45" s="50"/>
      <c r="I45" s="50"/>
      <c r="J45" s="50"/>
      <c r="K45" s="50"/>
      <c r="L45" s="50"/>
      <c r="M45" s="50"/>
      <c r="N45" s="50"/>
    </row>
    <row r="46" spans="1:14" ht="48.75" customHeight="1">
      <c r="A46" s="50"/>
      <c r="B46" s="421" t="s">
        <v>435</v>
      </c>
      <c r="C46" s="321" t="s">
        <v>436</v>
      </c>
      <c r="D46" s="61" t="s">
        <v>395</v>
      </c>
      <c r="E46" s="322" t="s">
        <v>178</v>
      </c>
      <c r="F46" s="50"/>
      <c r="G46" s="50"/>
      <c r="H46" s="50"/>
      <c r="I46" s="50"/>
      <c r="J46" s="50"/>
      <c r="K46" s="50"/>
      <c r="L46" s="50"/>
      <c r="M46" s="50"/>
      <c r="N46" s="50"/>
    </row>
    <row r="47" spans="1:14" ht="48.75" customHeight="1">
      <c r="A47" s="50"/>
      <c r="B47" s="422"/>
      <c r="C47" s="323" t="s">
        <v>437</v>
      </c>
      <c r="D47" s="62" t="s">
        <v>438</v>
      </c>
      <c r="E47" s="324" t="s">
        <v>172</v>
      </c>
      <c r="F47" s="50"/>
      <c r="G47" s="50"/>
      <c r="H47" s="50"/>
      <c r="I47" s="50"/>
      <c r="J47" s="50"/>
      <c r="K47" s="50"/>
      <c r="L47" s="50"/>
      <c r="M47" s="50"/>
      <c r="N47" s="50"/>
    </row>
    <row r="48" spans="1:14" ht="48.75" customHeight="1">
      <c r="A48" s="50"/>
      <c r="B48" s="422"/>
      <c r="C48" s="323" t="s">
        <v>439</v>
      </c>
      <c r="D48" s="62" t="s">
        <v>440</v>
      </c>
      <c r="E48" s="324" t="s">
        <v>175</v>
      </c>
      <c r="F48" s="50"/>
      <c r="G48" s="50"/>
      <c r="H48" s="50"/>
      <c r="I48" s="50"/>
      <c r="J48" s="50"/>
      <c r="K48" s="50"/>
      <c r="L48" s="50"/>
      <c r="M48" s="50"/>
      <c r="N48" s="50"/>
    </row>
    <row r="49" spans="1:14" ht="48.75" customHeight="1">
      <c r="A49" s="50"/>
      <c r="B49" s="422"/>
      <c r="C49" s="323" t="s">
        <v>441</v>
      </c>
      <c r="D49" s="62" t="s">
        <v>395</v>
      </c>
      <c r="E49" s="324" t="s">
        <v>172</v>
      </c>
      <c r="F49" s="50"/>
      <c r="G49" s="50"/>
      <c r="H49" s="50"/>
      <c r="I49" s="50"/>
      <c r="J49" s="50"/>
      <c r="K49" s="50"/>
      <c r="L49" s="50"/>
      <c r="M49" s="50"/>
      <c r="N49" s="50"/>
    </row>
    <row r="50" spans="1:14" ht="48.75" customHeight="1">
      <c r="B50" s="422"/>
      <c r="C50" s="325" t="s">
        <v>442</v>
      </c>
      <c r="D50" s="334" t="s">
        <v>422</v>
      </c>
      <c r="E50" s="326" t="s">
        <v>178</v>
      </c>
      <c r="F50" s="50"/>
      <c r="G50" s="50"/>
      <c r="H50" s="50"/>
      <c r="I50" s="50"/>
      <c r="J50" s="50"/>
      <c r="K50" s="50"/>
      <c r="L50" s="50"/>
      <c r="M50" s="50"/>
      <c r="N50" s="50"/>
    </row>
    <row r="51" spans="1:14" ht="48.75" customHeight="1">
      <c r="B51" s="422"/>
      <c r="C51" s="325" t="s">
        <v>443</v>
      </c>
      <c r="D51" s="62" t="s">
        <v>395</v>
      </c>
      <c r="E51" s="326" t="s">
        <v>175</v>
      </c>
      <c r="F51" s="50"/>
      <c r="G51" s="50"/>
      <c r="H51" s="50"/>
      <c r="I51" s="50"/>
      <c r="J51" s="50"/>
      <c r="K51" s="50"/>
      <c r="L51" s="50"/>
      <c r="M51" s="50"/>
      <c r="N51" s="50"/>
    </row>
    <row r="52" spans="1:14" ht="48.75" customHeight="1">
      <c r="B52" s="422"/>
      <c r="C52" s="325" t="s">
        <v>444</v>
      </c>
      <c r="D52" s="62" t="s">
        <v>440</v>
      </c>
      <c r="E52" s="326" t="s">
        <v>181</v>
      </c>
      <c r="F52" s="50"/>
      <c r="G52" s="50"/>
      <c r="H52" s="50"/>
      <c r="I52" s="50"/>
      <c r="J52" s="50"/>
      <c r="K52" s="50"/>
      <c r="L52" s="50"/>
      <c r="M52" s="50"/>
      <c r="N52" s="50"/>
    </row>
    <row r="53" spans="1:14" ht="71.45" customHeight="1" thickBot="1">
      <c r="B53" s="422"/>
      <c r="C53" s="343" t="s">
        <v>445</v>
      </c>
      <c r="D53" s="64" t="s">
        <v>395</v>
      </c>
      <c r="E53" s="336" t="s">
        <v>175</v>
      </c>
      <c r="F53" s="50"/>
      <c r="G53" s="50"/>
      <c r="H53" s="50"/>
      <c r="I53" s="50"/>
      <c r="J53" s="50"/>
      <c r="K53" s="50"/>
      <c r="L53" s="50"/>
      <c r="M53" s="50"/>
      <c r="N53" s="50"/>
    </row>
    <row r="54" spans="1:14" ht="71.45" customHeight="1">
      <c r="A54" s="50"/>
      <c r="B54" s="408" t="s">
        <v>446</v>
      </c>
      <c r="C54" s="321" t="s">
        <v>447</v>
      </c>
      <c r="D54" s="61" t="s">
        <v>440</v>
      </c>
      <c r="E54" s="322" t="s">
        <v>181</v>
      </c>
      <c r="F54" s="50"/>
      <c r="G54" s="50"/>
      <c r="H54" s="50"/>
      <c r="I54" s="50"/>
      <c r="J54" s="50"/>
      <c r="K54" s="50"/>
      <c r="L54" s="50"/>
      <c r="M54" s="50"/>
      <c r="N54" s="50"/>
    </row>
    <row r="55" spans="1:14" ht="71.45" customHeight="1">
      <c r="A55" s="50"/>
      <c r="B55" s="409"/>
      <c r="C55" s="323" t="s">
        <v>448</v>
      </c>
      <c r="D55" s="62" t="s">
        <v>440</v>
      </c>
      <c r="E55" s="324" t="s">
        <v>181</v>
      </c>
      <c r="F55" s="50"/>
      <c r="G55" s="50"/>
      <c r="H55" s="50"/>
      <c r="J55" s="50"/>
      <c r="K55" s="50"/>
      <c r="L55" s="50"/>
      <c r="M55" s="50"/>
      <c r="N55" s="50"/>
    </row>
    <row r="56" spans="1:14" ht="48.75" customHeight="1">
      <c r="A56" s="50"/>
      <c r="B56" s="409"/>
      <c r="C56" s="323" t="s">
        <v>449</v>
      </c>
      <c r="D56" s="62" t="s">
        <v>450</v>
      </c>
      <c r="E56" s="324" t="s">
        <v>175</v>
      </c>
      <c r="F56" s="50"/>
      <c r="G56" s="50"/>
      <c r="H56" s="50"/>
      <c r="I56" s="50"/>
      <c r="J56" s="50"/>
      <c r="K56" s="50"/>
      <c r="L56" s="50"/>
      <c r="M56" s="50"/>
      <c r="N56" s="50"/>
    </row>
    <row r="57" spans="1:14" ht="48.75" customHeight="1">
      <c r="A57" s="50"/>
      <c r="B57" s="409"/>
      <c r="C57" s="323" t="s">
        <v>451</v>
      </c>
      <c r="D57" s="62" t="s">
        <v>395</v>
      </c>
      <c r="E57" s="324" t="s">
        <v>175</v>
      </c>
      <c r="F57" s="50"/>
      <c r="G57" s="50"/>
      <c r="H57" s="50"/>
      <c r="I57" s="50"/>
      <c r="J57" s="50"/>
      <c r="K57" s="50"/>
      <c r="L57" s="50"/>
      <c r="M57" s="50"/>
      <c r="N57" s="50"/>
    </row>
    <row r="58" spans="1:14" ht="48.75" customHeight="1">
      <c r="A58" s="50"/>
      <c r="B58" s="409"/>
      <c r="C58" s="323" t="s">
        <v>452</v>
      </c>
      <c r="D58" s="62" t="s">
        <v>453</v>
      </c>
      <c r="E58" s="324" t="s">
        <v>175</v>
      </c>
      <c r="F58" s="50"/>
      <c r="G58" s="50"/>
      <c r="H58" s="50"/>
      <c r="I58" s="50"/>
      <c r="J58" s="50"/>
      <c r="K58" s="50"/>
      <c r="L58" s="50"/>
      <c r="M58" s="50"/>
      <c r="N58" s="50"/>
    </row>
    <row r="59" spans="1:14" ht="47.45" customHeight="1">
      <c r="B59" s="409"/>
      <c r="C59" s="325" t="s">
        <v>454</v>
      </c>
      <c r="D59" s="62" t="s">
        <v>395</v>
      </c>
      <c r="E59" s="326" t="s">
        <v>181</v>
      </c>
      <c r="F59" s="50"/>
      <c r="G59" s="50"/>
      <c r="H59" s="50"/>
      <c r="I59" s="50"/>
      <c r="J59" s="50"/>
      <c r="K59" s="50"/>
      <c r="L59" s="50"/>
      <c r="M59" s="50"/>
      <c r="N59" s="50"/>
    </row>
    <row r="60" spans="1:14" ht="48.75" customHeight="1">
      <c r="B60" s="409"/>
      <c r="C60" s="325" t="s">
        <v>455</v>
      </c>
      <c r="D60" s="62" t="s">
        <v>395</v>
      </c>
      <c r="E60" s="326" t="s">
        <v>175</v>
      </c>
      <c r="F60" s="50"/>
      <c r="G60" s="50"/>
      <c r="H60" s="50"/>
      <c r="I60" s="50"/>
      <c r="J60" s="50"/>
      <c r="K60" s="50"/>
      <c r="L60" s="50"/>
      <c r="M60" s="50"/>
      <c r="N60" s="50"/>
    </row>
    <row r="61" spans="1:14" ht="48.75" customHeight="1">
      <c r="B61" s="409"/>
      <c r="C61" s="325" t="s">
        <v>456</v>
      </c>
      <c r="D61" s="334" t="s">
        <v>422</v>
      </c>
      <c r="E61" s="326" t="s">
        <v>172</v>
      </c>
      <c r="F61" s="50"/>
      <c r="G61" s="50"/>
      <c r="H61" s="50"/>
      <c r="I61" s="50"/>
      <c r="J61" s="50"/>
      <c r="K61" s="50"/>
      <c r="L61" s="50"/>
      <c r="M61" s="50"/>
      <c r="N61" s="50"/>
    </row>
    <row r="62" spans="1:14" ht="48.75" customHeight="1">
      <c r="B62" s="409"/>
      <c r="C62" s="325" t="s">
        <v>457</v>
      </c>
      <c r="D62" s="334" t="s">
        <v>458</v>
      </c>
      <c r="E62" s="326" t="s">
        <v>178</v>
      </c>
      <c r="F62" s="50"/>
      <c r="G62" s="50"/>
      <c r="H62" s="50"/>
      <c r="I62" s="50"/>
      <c r="J62" s="50"/>
      <c r="K62" s="50"/>
      <c r="L62" s="50"/>
      <c r="M62" s="50"/>
      <c r="N62" s="50"/>
    </row>
    <row r="63" spans="1:14" ht="60" customHeight="1">
      <c r="B63" s="409"/>
      <c r="C63" s="325" t="s">
        <v>459</v>
      </c>
      <c r="D63" s="334" t="s">
        <v>422</v>
      </c>
      <c r="E63" s="326" t="s">
        <v>181</v>
      </c>
      <c r="F63" s="50"/>
      <c r="G63" s="50"/>
      <c r="H63" s="50"/>
      <c r="I63" s="50"/>
      <c r="J63" s="50"/>
      <c r="K63" s="50"/>
      <c r="L63" s="50"/>
      <c r="M63" s="50"/>
      <c r="N63" s="50"/>
    </row>
    <row r="64" spans="1:14" ht="48.75" customHeight="1">
      <c r="B64" s="409"/>
      <c r="C64" s="325" t="s">
        <v>460</v>
      </c>
      <c r="D64" s="334" t="s">
        <v>422</v>
      </c>
      <c r="E64" s="326" t="s">
        <v>172</v>
      </c>
      <c r="F64" s="50"/>
      <c r="G64" s="50"/>
      <c r="H64" s="50"/>
      <c r="I64" s="50"/>
      <c r="J64" s="50"/>
      <c r="K64" s="50"/>
      <c r="L64" s="50"/>
      <c r="M64" s="50"/>
      <c r="N64" s="50"/>
    </row>
    <row r="65" spans="1:14" ht="48.75" customHeight="1">
      <c r="B65" s="409"/>
      <c r="C65" s="325" t="s">
        <v>461</v>
      </c>
      <c r="D65" s="334" t="s">
        <v>58</v>
      </c>
      <c r="E65" s="326" t="s">
        <v>172</v>
      </c>
      <c r="F65" s="50"/>
      <c r="G65" s="50"/>
      <c r="H65" s="50"/>
      <c r="I65" s="50"/>
      <c r="J65" s="50"/>
      <c r="K65" s="50"/>
      <c r="L65" s="50"/>
      <c r="M65" s="50"/>
      <c r="N65" s="50"/>
    </row>
    <row r="66" spans="1:14" ht="69.599999999999994" customHeight="1">
      <c r="B66" s="409"/>
      <c r="C66" s="325" t="s">
        <v>462</v>
      </c>
      <c r="D66" s="334" t="s">
        <v>463</v>
      </c>
      <c r="E66" s="326" t="s">
        <v>175</v>
      </c>
      <c r="F66" s="50"/>
      <c r="G66" s="50"/>
      <c r="H66" s="50"/>
      <c r="I66" s="50"/>
      <c r="J66" s="50"/>
      <c r="K66" s="50"/>
      <c r="L66" s="50"/>
      <c r="M66" s="50"/>
      <c r="N66" s="50"/>
    </row>
    <row r="67" spans="1:14" ht="48.75" customHeight="1" thickBot="1">
      <c r="B67" s="410"/>
      <c r="C67" s="343" t="s">
        <v>464</v>
      </c>
      <c r="D67" s="341" t="s">
        <v>463</v>
      </c>
      <c r="E67" s="336" t="s">
        <v>178</v>
      </c>
      <c r="F67" s="50"/>
      <c r="G67" s="50"/>
      <c r="H67" s="50"/>
      <c r="I67" s="50"/>
      <c r="J67" s="50"/>
      <c r="K67" s="50"/>
      <c r="L67" s="50"/>
      <c r="M67" s="50"/>
      <c r="N67" s="50"/>
    </row>
    <row r="68" spans="1:14" ht="48.75" customHeight="1">
      <c r="A68" s="50"/>
      <c r="B68" s="411" t="s">
        <v>465</v>
      </c>
      <c r="C68" s="321" t="s">
        <v>466</v>
      </c>
      <c r="D68" s="61" t="s">
        <v>450</v>
      </c>
      <c r="E68" s="322" t="s">
        <v>175</v>
      </c>
      <c r="F68" s="50"/>
      <c r="G68" s="50"/>
      <c r="H68" s="50"/>
      <c r="I68" s="50"/>
      <c r="J68" s="50"/>
      <c r="K68" s="50"/>
      <c r="L68" s="50"/>
      <c r="M68" s="50"/>
      <c r="N68" s="50"/>
    </row>
    <row r="69" spans="1:14" ht="48.75" customHeight="1">
      <c r="A69" s="50"/>
      <c r="B69" s="412"/>
      <c r="C69" s="323" t="s">
        <v>467</v>
      </c>
      <c r="D69" s="62" t="s">
        <v>468</v>
      </c>
      <c r="E69" s="324" t="s">
        <v>178</v>
      </c>
      <c r="F69" s="50"/>
      <c r="G69" s="50"/>
      <c r="H69" s="50"/>
      <c r="I69" s="50"/>
      <c r="J69" s="50"/>
      <c r="K69" s="50"/>
      <c r="L69" s="50"/>
      <c r="M69" s="50"/>
      <c r="N69" s="50"/>
    </row>
    <row r="70" spans="1:14" ht="48.75" customHeight="1">
      <c r="A70" s="50"/>
      <c r="B70" s="412"/>
      <c r="C70" s="323" t="s">
        <v>469</v>
      </c>
      <c r="D70" s="62" t="s">
        <v>450</v>
      </c>
      <c r="E70" s="324" t="s">
        <v>172</v>
      </c>
      <c r="F70" s="50"/>
      <c r="G70" s="50"/>
      <c r="H70" s="50"/>
      <c r="I70" s="50"/>
      <c r="J70" s="50"/>
      <c r="K70" s="50"/>
      <c r="L70" s="50"/>
      <c r="M70" s="50"/>
      <c r="N70" s="50"/>
    </row>
    <row r="71" spans="1:14" ht="48.75" customHeight="1">
      <c r="A71" s="50"/>
      <c r="B71" s="412"/>
      <c r="C71" s="323" t="s">
        <v>470</v>
      </c>
      <c r="D71" s="62" t="s">
        <v>395</v>
      </c>
      <c r="E71" s="324" t="s">
        <v>175</v>
      </c>
      <c r="F71" s="50"/>
      <c r="G71" s="50"/>
      <c r="H71" s="50"/>
      <c r="I71" s="50"/>
      <c r="J71" s="50"/>
      <c r="K71" s="50"/>
      <c r="L71" s="50"/>
      <c r="M71" s="50"/>
      <c r="N71" s="50"/>
    </row>
    <row r="72" spans="1:14" ht="48.75" customHeight="1">
      <c r="B72" s="412"/>
      <c r="C72" s="325" t="s">
        <v>471</v>
      </c>
      <c r="D72" s="62" t="s">
        <v>472</v>
      </c>
      <c r="E72" s="326" t="s">
        <v>172</v>
      </c>
      <c r="F72" s="50"/>
      <c r="G72" s="50"/>
      <c r="H72" s="50"/>
      <c r="I72" s="50"/>
      <c r="J72" s="50"/>
      <c r="K72" s="50"/>
      <c r="L72" s="50"/>
      <c r="M72" s="50"/>
      <c r="N72" s="50"/>
    </row>
    <row r="73" spans="1:14" ht="48.75" customHeight="1">
      <c r="B73" s="412"/>
      <c r="C73" s="325" t="s">
        <v>473</v>
      </c>
      <c r="D73" s="334" t="s">
        <v>58</v>
      </c>
      <c r="E73" s="326" t="s">
        <v>181</v>
      </c>
      <c r="F73" s="50"/>
      <c r="G73" s="50"/>
      <c r="H73" s="50"/>
      <c r="I73" s="50"/>
      <c r="J73" s="50"/>
      <c r="K73" s="50"/>
      <c r="L73" s="50"/>
      <c r="M73" s="50"/>
      <c r="N73" s="50"/>
    </row>
    <row r="74" spans="1:14" ht="48.75" customHeight="1">
      <c r="B74" s="412"/>
      <c r="C74" s="325" t="s">
        <v>474</v>
      </c>
      <c r="D74" s="334" t="s">
        <v>475</v>
      </c>
      <c r="E74" s="326" t="s">
        <v>178</v>
      </c>
      <c r="F74" s="50"/>
      <c r="G74" s="50"/>
      <c r="H74" s="50"/>
      <c r="I74" s="50"/>
      <c r="J74" s="50"/>
      <c r="K74" s="50"/>
      <c r="L74" s="50"/>
      <c r="M74" s="50"/>
      <c r="N74" s="50"/>
    </row>
    <row r="75" spans="1:14" ht="48.75" customHeight="1" thickBot="1">
      <c r="B75" s="413"/>
      <c r="C75" s="343" t="s">
        <v>476</v>
      </c>
      <c r="D75" s="341" t="s">
        <v>475</v>
      </c>
      <c r="E75" s="336" t="s">
        <v>175</v>
      </c>
      <c r="F75" s="50"/>
      <c r="G75" s="50"/>
      <c r="H75" s="50"/>
      <c r="I75" s="50"/>
      <c r="J75" s="50"/>
      <c r="K75" s="50"/>
      <c r="L75" s="50"/>
      <c r="M75" s="50"/>
      <c r="N75" s="50"/>
    </row>
    <row r="76" spans="1:14" ht="42.75" customHeight="1">
      <c r="A76" s="50"/>
      <c r="B76" s="408" t="s">
        <v>477</v>
      </c>
      <c r="C76" s="321" t="s">
        <v>478</v>
      </c>
      <c r="D76" s="61" t="s">
        <v>479</v>
      </c>
      <c r="E76" s="322" t="s">
        <v>172</v>
      </c>
    </row>
    <row r="77" spans="1:14" ht="41.25" customHeight="1">
      <c r="A77" s="50"/>
      <c r="B77" s="409"/>
      <c r="C77" s="323" t="s">
        <v>480</v>
      </c>
      <c r="D77" s="62" t="s">
        <v>472</v>
      </c>
      <c r="E77" s="324" t="s">
        <v>175</v>
      </c>
    </row>
    <row r="78" spans="1:14" ht="29.25" customHeight="1">
      <c r="A78" s="50"/>
      <c r="B78" s="409"/>
      <c r="C78" s="323" t="s">
        <v>481</v>
      </c>
      <c r="D78" s="62" t="s">
        <v>482</v>
      </c>
      <c r="E78" s="324" t="s">
        <v>172</v>
      </c>
    </row>
    <row r="79" spans="1:14" ht="45.75" customHeight="1">
      <c r="A79" s="50"/>
      <c r="B79" s="409"/>
      <c r="C79" s="323" t="s">
        <v>483</v>
      </c>
      <c r="D79" s="62" t="s">
        <v>376</v>
      </c>
      <c r="E79" s="324" t="s">
        <v>181</v>
      </c>
    </row>
    <row r="80" spans="1:14" ht="50.45" customHeight="1">
      <c r="A80" s="50"/>
      <c r="B80" s="409"/>
      <c r="C80" s="323" t="s">
        <v>484</v>
      </c>
      <c r="D80" s="62" t="s">
        <v>450</v>
      </c>
      <c r="E80" s="324" t="s">
        <v>175</v>
      </c>
    </row>
    <row r="81" spans="1:5" ht="28.9">
      <c r="B81" s="409"/>
      <c r="C81" s="325" t="s">
        <v>485</v>
      </c>
      <c r="D81" s="341" t="s">
        <v>475</v>
      </c>
      <c r="E81" s="326" t="s">
        <v>172</v>
      </c>
    </row>
    <row r="82" spans="1:5" ht="48.6" customHeight="1">
      <c r="B82" s="409"/>
      <c r="C82" s="325" t="s">
        <v>486</v>
      </c>
      <c r="D82" s="62" t="s">
        <v>472</v>
      </c>
      <c r="E82" s="326" t="s">
        <v>175</v>
      </c>
    </row>
    <row r="83" spans="1:5" ht="30.6" customHeight="1">
      <c r="B83" s="409"/>
      <c r="C83" s="325" t="s">
        <v>487</v>
      </c>
      <c r="D83" s="62" t="s">
        <v>488</v>
      </c>
      <c r="E83" s="326" t="s">
        <v>178</v>
      </c>
    </row>
    <row r="84" spans="1:5" ht="28.9" customHeight="1" thickBot="1">
      <c r="B84" s="410"/>
      <c r="C84" s="343" t="s">
        <v>489</v>
      </c>
      <c r="D84" s="341" t="s">
        <v>475</v>
      </c>
      <c r="E84" s="336" t="s">
        <v>175</v>
      </c>
    </row>
    <row r="85" spans="1:5" ht="71.45" customHeight="1">
      <c r="A85" s="50"/>
      <c r="B85" s="408" t="s">
        <v>490</v>
      </c>
      <c r="C85" s="321" t="s">
        <v>491</v>
      </c>
      <c r="D85" s="61" t="s">
        <v>450</v>
      </c>
      <c r="E85" s="322" t="s">
        <v>175</v>
      </c>
    </row>
    <row r="86" spans="1:5" ht="43.15">
      <c r="A86" s="50"/>
      <c r="B86" s="409"/>
      <c r="C86" s="323" t="s">
        <v>492</v>
      </c>
      <c r="D86" s="62" t="s">
        <v>493</v>
      </c>
      <c r="E86" s="324" t="s">
        <v>175</v>
      </c>
    </row>
    <row r="87" spans="1:5" ht="46.9" customHeight="1">
      <c r="A87" s="50"/>
      <c r="B87" s="409"/>
      <c r="C87" s="323" t="s">
        <v>494</v>
      </c>
      <c r="D87" s="62" t="s">
        <v>495</v>
      </c>
      <c r="E87" s="324" t="s">
        <v>175</v>
      </c>
    </row>
    <row r="88" spans="1:5" ht="46.15" customHeight="1">
      <c r="B88" s="409"/>
      <c r="C88" s="325" t="s">
        <v>496</v>
      </c>
      <c r="D88" s="62" t="s">
        <v>472</v>
      </c>
      <c r="E88" s="326" t="s">
        <v>172</v>
      </c>
    </row>
    <row r="89" spans="1:5" ht="43.15">
      <c r="B89" s="409"/>
      <c r="C89" s="325" t="s">
        <v>497</v>
      </c>
      <c r="D89" s="334" t="s">
        <v>475</v>
      </c>
      <c r="E89" s="326" t="s">
        <v>178</v>
      </c>
    </row>
    <row r="90" spans="1:5" ht="43.15">
      <c r="B90" s="409"/>
      <c r="C90" s="325" t="s">
        <v>498</v>
      </c>
      <c r="D90" s="334" t="s">
        <v>475</v>
      </c>
      <c r="E90" s="326" t="s">
        <v>178</v>
      </c>
    </row>
    <row r="91" spans="1:5" ht="36.6" customHeight="1" thickBot="1">
      <c r="B91" s="410"/>
      <c r="C91" s="343" t="s">
        <v>499</v>
      </c>
      <c r="D91" s="64" t="s">
        <v>472</v>
      </c>
      <c r="E91" s="336" t="s">
        <v>175</v>
      </c>
    </row>
    <row r="92" spans="1:5" ht="22.15" customHeight="1">
      <c r="A92" s="50"/>
      <c r="B92" s="411" t="s">
        <v>9</v>
      </c>
      <c r="C92" s="321" t="s">
        <v>500</v>
      </c>
      <c r="D92" s="61" t="s">
        <v>495</v>
      </c>
      <c r="E92" s="322" t="s">
        <v>175</v>
      </c>
    </row>
    <row r="93" spans="1:5" ht="28.9" customHeight="1">
      <c r="A93" s="50"/>
      <c r="B93" s="412"/>
      <c r="C93" s="323" t="s">
        <v>501</v>
      </c>
      <c r="D93" s="62" t="s">
        <v>440</v>
      </c>
      <c r="E93" s="324" t="s">
        <v>172</v>
      </c>
    </row>
    <row r="94" spans="1:5" ht="28.9">
      <c r="A94" s="50"/>
      <c r="B94" s="412"/>
      <c r="C94" s="323" t="s">
        <v>502</v>
      </c>
      <c r="D94" s="62" t="s">
        <v>503</v>
      </c>
      <c r="E94" s="324" t="s">
        <v>175</v>
      </c>
    </row>
    <row r="95" spans="1:5" ht="43.15" customHeight="1">
      <c r="B95" s="412"/>
      <c r="C95" s="337" t="s">
        <v>504</v>
      </c>
      <c r="D95" s="62" t="s">
        <v>503</v>
      </c>
      <c r="E95" s="326" t="s">
        <v>175</v>
      </c>
    </row>
    <row r="96" spans="1:5" ht="43.15">
      <c r="B96" s="412"/>
      <c r="C96" s="337" t="s">
        <v>505</v>
      </c>
      <c r="D96" s="334" t="s">
        <v>463</v>
      </c>
      <c r="E96" s="326" t="s">
        <v>175</v>
      </c>
    </row>
    <row r="97" spans="1:5" ht="28.9">
      <c r="B97" s="412"/>
      <c r="C97" s="337" t="s">
        <v>506</v>
      </c>
      <c r="D97" s="334" t="s">
        <v>58</v>
      </c>
      <c r="E97" s="326" t="s">
        <v>175</v>
      </c>
    </row>
    <row r="98" spans="1:5" ht="29.45" thickBot="1">
      <c r="B98" s="413"/>
      <c r="C98" s="335" t="s">
        <v>507</v>
      </c>
      <c r="D98" s="341" t="s">
        <v>463</v>
      </c>
      <c r="E98" s="336" t="s">
        <v>175</v>
      </c>
    </row>
    <row r="99" spans="1:5" ht="40.15" customHeight="1">
      <c r="A99" s="50"/>
      <c r="B99" s="414" t="s">
        <v>508</v>
      </c>
      <c r="C99" s="321" t="s">
        <v>509</v>
      </c>
      <c r="D99" s="61" t="s">
        <v>510</v>
      </c>
      <c r="E99" s="322" t="s">
        <v>172</v>
      </c>
    </row>
    <row r="100" spans="1:5" ht="43.15">
      <c r="B100" s="415"/>
      <c r="C100" s="337" t="s">
        <v>511</v>
      </c>
      <c r="D100" s="62" t="s">
        <v>472</v>
      </c>
      <c r="E100" s="326" t="s">
        <v>172</v>
      </c>
    </row>
    <row r="101" spans="1:5" ht="30.6" customHeight="1">
      <c r="B101" s="415"/>
      <c r="C101" s="337" t="s">
        <v>512</v>
      </c>
      <c r="D101" s="334" t="s">
        <v>475</v>
      </c>
      <c r="E101" s="326" t="s">
        <v>172</v>
      </c>
    </row>
    <row r="102" spans="1:5" ht="28.9">
      <c r="B102" s="415"/>
      <c r="C102" s="337" t="s">
        <v>513</v>
      </c>
      <c r="D102" s="334" t="s">
        <v>58</v>
      </c>
      <c r="E102" s="326" t="s">
        <v>178</v>
      </c>
    </row>
    <row r="103" spans="1:5" ht="28.9">
      <c r="B103" s="415"/>
      <c r="C103" s="337" t="s">
        <v>514</v>
      </c>
      <c r="D103" s="334" t="s">
        <v>58</v>
      </c>
      <c r="E103" s="326" t="s">
        <v>181</v>
      </c>
    </row>
    <row r="104" spans="1:5" ht="28.9">
      <c r="B104" s="415"/>
      <c r="C104" s="337" t="s">
        <v>515</v>
      </c>
      <c r="D104" s="334" t="s">
        <v>463</v>
      </c>
      <c r="E104" s="326" t="s">
        <v>175</v>
      </c>
    </row>
    <row r="105" spans="1:5" ht="28.9">
      <c r="B105" s="415"/>
      <c r="C105" s="337" t="s">
        <v>516</v>
      </c>
      <c r="D105" s="334" t="s">
        <v>463</v>
      </c>
      <c r="E105" s="326" t="s">
        <v>178</v>
      </c>
    </row>
    <row r="106" spans="1:5">
      <c r="B106" s="415"/>
      <c r="C106" s="337" t="s">
        <v>517</v>
      </c>
      <c r="D106" s="334" t="s">
        <v>58</v>
      </c>
      <c r="E106" s="326" t="s">
        <v>175</v>
      </c>
    </row>
    <row r="107" spans="1:5" ht="29.45" thickBot="1">
      <c r="B107" s="416"/>
      <c r="C107" s="327" t="s">
        <v>518</v>
      </c>
      <c r="D107" s="342" t="s">
        <v>58</v>
      </c>
      <c r="E107" s="328" t="s">
        <v>175</v>
      </c>
    </row>
    <row r="108" spans="1:5" ht="43.9" customHeight="1" thickBot="1">
      <c r="A108" s="50"/>
      <c r="B108" s="417" t="s">
        <v>519</v>
      </c>
      <c r="C108" s="103" t="s">
        <v>520</v>
      </c>
      <c r="D108" s="94" t="s">
        <v>521</v>
      </c>
      <c r="E108" s="95" t="s">
        <v>178</v>
      </c>
    </row>
    <row r="109" spans="1:5" ht="15" thickBot="1">
      <c r="A109" s="50"/>
      <c r="B109" s="418"/>
      <c r="C109" s="106" t="s">
        <v>522</v>
      </c>
      <c r="D109" s="107" t="s">
        <v>510</v>
      </c>
      <c r="E109" s="108" t="s">
        <v>172</v>
      </c>
    </row>
    <row r="110" spans="1:5" ht="28.9">
      <c r="A110" s="50"/>
      <c r="B110" s="418"/>
      <c r="C110" s="96" t="s">
        <v>523</v>
      </c>
      <c r="D110" s="94" t="s">
        <v>524</v>
      </c>
      <c r="E110" s="63" t="s">
        <v>175</v>
      </c>
    </row>
    <row r="111" spans="1:5" ht="42.6" customHeight="1" thickBot="1">
      <c r="A111" s="50"/>
      <c r="B111" s="419"/>
      <c r="C111" s="96" t="s">
        <v>525</v>
      </c>
      <c r="D111" s="62" t="s">
        <v>521</v>
      </c>
      <c r="E111" s="63" t="s">
        <v>175</v>
      </c>
    </row>
    <row r="112" spans="1:5" ht="30" customHeight="1">
      <c r="A112" s="50"/>
      <c r="B112" s="417" t="s">
        <v>28</v>
      </c>
      <c r="C112" s="96" t="s">
        <v>526</v>
      </c>
      <c r="D112" s="62" t="s">
        <v>58</v>
      </c>
      <c r="E112" s="63" t="s">
        <v>175</v>
      </c>
    </row>
    <row r="113" spans="1:5" ht="15" thickBot="1">
      <c r="A113" s="50"/>
      <c r="B113" s="419"/>
      <c r="C113" s="96" t="s">
        <v>527</v>
      </c>
      <c r="D113" s="62" t="s">
        <v>401</v>
      </c>
      <c r="E113" s="63" t="s">
        <v>175</v>
      </c>
    </row>
    <row r="114" spans="1:5" ht="46.9" customHeight="1">
      <c r="A114" s="50"/>
      <c r="B114" s="417" t="s">
        <v>528</v>
      </c>
      <c r="C114" s="96" t="s">
        <v>529</v>
      </c>
      <c r="D114" s="62" t="s">
        <v>58</v>
      </c>
      <c r="E114" s="63" t="s">
        <v>172</v>
      </c>
    </row>
    <row r="115" spans="1:5" ht="28.9">
      <c r="A115" s="50"/>
      <c r="B115" s="418"/>
      <c r="C115" s="96" t="s">
        <v>530</v>
      </c>
      <c r="D115" s="62" t="s">
        <v>531</v>
      </c>
      <c r="E115" s="63" t="s">
        <v>172</v>
      </c>
    </row>
    <row r="116" spans="1:5">
      <c r="A116" s="50"/>
      <c r="B116" s="418"/>
      <c r="C116" s="96" t="s">
        <v>532</v>
      </c>
      <c r="D116" s="62" t="s">
        <v>58</v>
      </c>
      <c r="E116" s="63" t="s">
        <v>175</v>
      </c>
    </row>
    <row r="117" spans="1:5" ht="15" thickBot="1">
      <c r="A117" s="50"/>
      <c r="B117" s="420"/>
      <c r="C117" s="100" t="s">
        <v>533</v>
      </c>
      <c r="D117" s="64" t="s">
        <v>401</v>
      </c>
      <c r="E117" s="65" t="s">
        <v>175</v>
      </c>
    </row>
    <row r="118" spans="1:5" ht="36" customHeight="1">
      <c r="A118" s="50"/>
      <c r="B118" s="411" t="s">
        <v>534</v>
      </c>
      <c r="C118" s="321" t="s">
        <v>535</v>
      </c>
      <c r="D118" s="61" t="s">
        <v>536</v>
      </c>
      <c r="E118" s="322" t="s">
        <v>181</v>
      </c>
    </row>
    <row r="119" spans="1:5" ht="28.9">
      <c r="A119" s="50"/>
      <c r="B119" s="412"/>
      <c r="C119" s="323" t="s">
        <v>537</v>
      </c>
      <c r="D119" s="62" t="s">
        <v>538</v>
      </c>
      <c r="E119" s="324" t="s">
        <v>178</v>
      </c>
    </row>
    <row r="120" spans="1:5" ht="28.9">
      <c r="A120" s="50"/>
      <c r="B120" s="412"/>
      <c r="C120" s="323" t="s">
        <v>539</v>
      </c>
      <c r="D120" s="62" t="s">
        <v>538</v>
      </c>
      <c r="E120" s="324" t="s">
        <v>178</v>
      </c>
    </row>
    <row r="121" spans="1:5" ht="43.15">
      <c r="A121" s="50"/>
      <c r="B121" s="412"/>
      <c r="C121" s="323" t="s">
        <v>540</v>
      </c>
      <c r="D121" s="62" t="s">
        <v>538</v>
      </c>
      <c r="E121" s="324" t="s">
        <v>181</v>
      </c>
    </row>
    <row r="122" spans="1:5" ht="28.9">
      <c r="A122" s="50"/>
      <c r="B122" s="412"/>
      <c r="C122" s="323" t="s">
        <v>541</v>
      </c>
      <c r="D122" s="62" t="s">
        <v>440</v>
      </c>
      <c r="E122" s="324" t="s">
        <v>175</v>
      </c>
    </row>
    <row r="123" spans="1:5" ht="43.15">
      <c r="B123" s="412"/>
      <c r="C123" s="337" t="s">
        <v>542</v>
      </c>
      <c r="D123" s="62" t="s">
        <v>58</v>
      </c>
      <c r="E123" s="326" t="s">
        <v>181</v>
      </c>
    </row>
    <row r="124" spans="1:5" ht="28.9">
      <c r="B124" s="412"/>
      <c r="C124" s="337" t="s">
        <v>543</v>
      </c>
      <c r="D124" s="62" t="s">
        <v>544</v>
      </c>
      <c r="E124" s="326" t="s">
        <v>175</v>
      </c>
    </row>
    <row r="125" spans="1:5" ht="28.9">
      <c r="B125" s="412"/>
      <c r="C125" s="337" t="s">
        <v>545</v>
      </c>
      <c r="D125" s="62" t="s">
        <v>58</v>
      </c>
      <c r="E125" s="326" t="s">
        <v>175</v>
      </c>
    </row>
    <row r="126" spans="1:5" ht="28.9">
      <c r="B126" s="412"/>
      <c r="C126" s="337" t="s">
        <v>546</v>
      </c>
      <c r="D126" s="62" t="s">
        <v>472</v>
      </c>
      <c r="E126" s="326" t="s">
        <v>181</v>
      </c>
    </row>
    <row r="127" spans="1:5" ht="43.15">
      <c r="B127" s="412"/>
      <c r="C127" s="337" t="s">
        <v>547</v>
      </c>
      <c r="D127" s="62" t="s">
        <v>440</v>
      </c>
      <c r="E127" s="326" t="s">
        <v>172</v>
      </c>
    </row>
    <row r="128" spans="1:5" ht="40.9" customHeight="1">
      <c r="B128" s="412"/>
      <c r="C128" s="337" t="s">
        <v>548</v>
      </c>
      <c r="D128" s="62" t="s">
        <v>538</v>
      </c>
      <c r="E128" s="326" t="s">
        <v>181</v>
      </c>
    </row>
    <row r="129" spans="1:5" ht="32.450000000000003" customHeight="1">
      <c r="B129" s="412"/>
      <c r="C129" s="323" t="s">
        <v>549</v>
      </c>
      <c r="D129" s="62" t="s">
        <v>463</v>
      </c>
      <c r="E129" s="324" t="s">
        <v>175</v>
      </c>
    </row>
    <row r="130" spans="1:5" ht="34.15" customHeight="1" thickBot="1">
      <c r="B130" s="413"/>
      <c r="C130" s="339" t="s">
        <v>550</v>
      </c>
      <c r="D130" s="64" t="s">
        <v>538</v>
      </c>
      <c r="E130" s="340" t="s">
        <v>178</v>
      </c>
    </row>
    <row r="131" spans="1:5" ht="47.45" customHeight="1">
      <c r="A131" s="50"/>
      <c r="B131" s="408" t="s">
        <v>551</v>
      </c>
      <c r="C131" s="321" t="s">
        <v>552</v>
      </c>
      <c r="D131" s="61" t="s">
        <v>538</v>
      </c>
      <c r="E131" s="322" t="s">
        <v>175</v>
      </c>
    </row>
    <row r="132" spans="1:5" ht="28.9">
      <c r="B132" s="409"/>
      <c r="C132" s="323" t="s">
        <v>553</v>
      </c>
      <c r="D132" s="96" t="s">
        <v>538</v>
      </c>
      <c r="E132" s="338" t="s">
        <v>172</v>
      </c>
    </row>
    <row r="133" spans="1:5" ht="28.9">
      <c r="B133" s="409"/>
      <c r="C133" s="323" t="s">
        <v>554</v>
      </c>
      <c r="D133" s="96" t="s">
        <v>555</v>
      </c>
      <c r="E133" s="338" t="s">
        <v>172</v>
      </c>
    </row>
    <row r="134" spans="1:5">
      <c r="B134" s="409"/>
      <c r="C134" s="323" t="s">
        <v>556</v>
      </c>
      <c r="D134" s="96" t="s">
        <v>557</v>
      </c>
      <c r="E134" s="338" t="s">
        <v>172</v>
      </c>
    </row>
    <row r="135" spans="1:5" ht="28.9">
      <c r="B135" s="409"/>
      <c r="C135" s="323" t="s">
        <v>558</v>
      </c>
      <c r="D135" s="96" t="s">
        <v>559</v>
      </c>
      <c r="E135" s="338" t="s">
        <v>172</v>
      </c>
    </row>
    <row r="136" spans="1:5" ht="29.45" thickBot="1">
      <c r="B136" s="410"/>
      <c r="C136" s="344" t="s">
        <v>560</v>
      </c>
      <c r="D136" s="345" t="s">
        <v>440</v>
      </c>
      <c r="E136" s="346" t="s">
        <v>178</v>
      </c>
    </row>
  </sheetData>
  <dataConsolidate/>
  <mergeCells count="18">
    <mergeCell ref="B76:B84"/>
    <mergeCell ref="B46:B53"/>
    <mergeCell ref="B54:B67"/>
    <mergeCell ref="B68:B75"/>
    <mergeCell ref="B3:B10"/>
    <mergeCell ref="B11:B13"/>
    <mergeCell ref="B14:B20"/>
    <mergeCell ref="B21:B26"/>
    <mergeCell ref="B37:B45"/>
    <mergeCell ref="B27:B36"/>
    <mergeCell ref="B131:B136"/>
    <mergeCell ref="B85:B91"/>
    <mergeCell ref="B92:B98"/>
    <mergeCell ref="B99:B107"/>
    <mergeCell ref="B118:B130"/>
    <mergeCell ref="B108:B111"/>
    <mergeCell ref="B112:B113"/>
    <mergeCell ref="B114:B117"/>
  </mergeCells>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EDBA9BA-B5C3-B148-A2E9-01C8FF3EAA60}">
          <x14:formula1>
            <xm:f>'1.Métriques'!$B$37:$B$40</xm:f>
          </x14:formula1>
          <xm:sqref>E137:E1048576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681F-83D1-F546-925D-8EF9253E22FF}">
  <sheetPr codeName="Feuil9">
    <tabColor theme="7" tint="0.79998168889431442"/>
  </sheetPr>
  <dimension ref="B2:C23"/>
  <sheetViews>
    <sheetView showGridLines="0" topLeftCell="A3" zoomScale="84" zoomScaleNormal="85" workbookViewId="0">
      <selection activeCell="C6" sqref="C6"/>
    </sheetView>
  </sheetViews>
  <sheetFormatPr defaultColWidth="11.42578125" defaultRowHeight="14.45"/>
  <cols>
    <col min="1" max="1" width="1" customWidth="1"/>
    <col min="2" max="2" width="16.42578125" style="2" customWidth="1"/>
    <col min="3" max="3" width="81" style="3" customWidth="1"/>
    <col min="4" max="4" width="54.85546875" bestFit="1" customWidth="1"/>
    <col min="5" max="5" width="58.140625" bestFit="1" customWidth="1"/>
    <col min="6" max="6" width="62.42578125" bestFit="1" customWidth="1"/>
    <col min="7" max="7" width="61.85546875" bestFit="1" customWidth="1"/>
    <col min="8" max="8" width="55.140625" bestFit="1" customWidth="1"/>
    <col min="9" max="9" width="59.85546875" bestFit="1" customWidth="1"/>
    <col min="10" max="10" width="58.85546875" bestFit="1" customWidth="1"/>
    <col min="11" max="11" width="53.42578125" bestFit="1" customWidth="1"/>
    <col min="12" max="12" width="57.85546875" bestFit="1" customWidth="1"/>
    <col min="13" max="13" width="56.85546875" bestFit="1" customWidth="1"/>
    <col min="14" max="14" width="55.140625" bestFit="1" customWidth="1"/>
    <col min="15" max="15" width="59.42578125" bestFit="1" customWidth="1"/>
    <col min="16" max="16" width="58.85546875" bestFit="1" customWidth="1"/>
    <col min="17" max="17" width="51.42578125" bestFit="1" customWidth="1"/>
    <col min="18" max="18" width="55.85546875" bestFit="1" customWidth="1"/>
    <col min="19" max="19" width="55" bestFit="1" customWidth="1"/>
    <col min="20" max="20" width="55.85546875" bestFit="1" customWidth="1"/>
    <col min="21" max="21" width="60.140625" bestFit="1" customWidth="1"/>
    <col min="22" max="22" width="59.140625" bestFit="1" customWidth="1"/>
    <col min="23" max="23" width="56.140625" bestFit="1" customWidth="1"/>
    <col min="24" max="24" width="60.42578125" bestFit="1" customWidth="1"/>
    <col min="25" max="25" width="59.85546875" bestFit="1" customWidth="1"/>
    <col min="26" max="26" width="61.85546875" bestFit="1" customWidth="1"/>
    <col min="27" max="27" width="66.140625" bestFit="1" customWidth="1"/>
    <col min="28" max="28" width="65.140625" bestFit="1" customWidth="1"/>
    <col min="29" max="29" width="59.85546875" bestFit="1" customWidth="1"/>
    <col min="30" max="30" width="64" bestFit="1" customWidth="1"/>
    <col min="31" max="31" width="63.140625" bestFit="1" customWidth="1"/>
    <col min="32" max="32" width="55" bestFit="1" customWidth="1"/>
    <col min="33" max="33" width="59.140625" bestFit="1" customWidth="1"/>
    <col min="34" max="34" width="58.42578125" bestFit="1" customWidth="1"/>
    <col min="35" max="35" width="54.85546875" bestFit="1" customWidth="1"/>
    <col min="36" max="36" width="59" bestFit="1" customWidth="1"/>
    <col min="37" max="37" width="58.140625" bestFit="1" customWidth="1"/>
    <col min="38" max="38" width="52.85546875" bestFit="1" customWidth="1"/>
    <col min="39" max="39" width="57" bestFit="1" customWidth="1"/>
    <col min="40" max="40" width="56.140625" bestFit="1" customWidth="1"/>
    <col min="41" max="41" width="60.140625" bestFit="1" customWidth="1"/>
    <col min="42" max="42" width="64.85546875" bestFit="1" customWidth="1"/>
    <col min="43" max="43" width="64" bestFit="1" customWidth="1"/>
    <col min="44" max="44" width="59.42578125" bestFit="1" customWidth="1"/>
    <col min="45" max="45" width="63.85546875" bestFit="1" customWidth="1"/>
    <col min="46" max="46" width="62.42578125" bestFit="1" customWidth="1"/>
    <col min="47" max="47" width="49.140625" bestFit="1" customWidth="1"/>
    <col min="48" max="48" width="53.85546875" bestFit="1" customWidth="1"/>
    <col min="49" max="49" width="53" bestFit="1" customWidth="1"/>
    <col min="50" max="50" width="46.85546875" bestFit="1" customWidth="1"/>
    <col min="51" max="51" width="51" bestFit="1" customWidth="1"/>
    <col min="52" max="52" width="50.140625" bestFit="1" customWidth="1"/>
    <col min="53" max="53" width="46.140625" bestFit="1" customWidth="1"/>
    <col min="54" max="54" width="50.85546875" bestFit="1" customWidth="1"/>
    <col min="55" max="55" width="50" bestFit="1" customWidth="1"/>
    <col min="56" max="56" width="5.42578125" bestFit="1" customWidth="1"/>
    <col min="57" max="57" width="11.140625" bestFit="1" customWidth="1"/>
  </cols>
  <sheetData>
    <row r="2" spans="2:3">
      <c r="B2" s="22" t="s">
        <v>368</v>
      </c>
      <c r="C2" s="22" t="s">
        <v>366</v>
      </c>
    </row>
    <row r="3" spans="2:3" ht="131.25" customHeight="1">
      <c r="B3" s="45" t="s">
        <v>181</v>
      </c>
      <c r="C3" s="4" t="str" cm="1">
        <f t="array" ref="C3">_xlfn.TEXTJOIN(CHAR(10), TRUE, _xlfn._xlws.FILTER(menaces[[Scénarios de menaces ]],menaces[Vraisemblance]="Maximale"))</f>
        <v>Création, modification, suppression non désirable de fichiers sur le Serveur de fichiers
Suppression accidentelle d’un dossier client par un employé
Contournement du bastion pour l'accès au machines de prod
Comptes AD / accès non désactivés  après départ d'un employé
Partage excéssif / réutilisation des mots dee passe Admin
Risques liés à la sauvegarde et à la restauration des DCs
Attaque DDOS ciblant le firewall
Shadow IT sur le firewall / surabondance de règles firewall 
Attaque par déni de service ciblant le serveur Web
Fraude au président par un tier malveillant
Phishing sur les employés
Spoofing (usurpation) de notre domaine mail
Pas de SSO pour lire / envoyer des mails
Pas de redondance du stockage des backups
Certificat expiré et non renouvelé
Mots de passe trop faibles / non renouvelés
Accès non autorisé par un tier aux Postes Windows / Linux
Accès direct aux ports (USB notamment) et interfaces internes des machines
Configurations faibles et exploitables car manque de hardening sur les machines 
Accès physique aux données du disque dur car non chiffré
Installation d'applications non autorisées sur les postes utilisateurs</v>
      </c>
    </row>
    <row r="4" spans="2:3" ht="180.75" customHeight="1">
      <c r="B4" s="4" t="s">
        <v>178</v>
      </c>
      <c r="C4" s="4" t="str" cm="1">
        <f t="array" ref="C4">_xlfn.TEXTJOIN(CHAR(10), TRUE, _xlfn._xlws.FILTER(menaces[[Scénarios de menaces ]],menaces[Vraisemblance]="Forte"))</f>
        <v>Synchronisation incorrecte entre serveurs de fichiers
Corruption des fichiers suite à panne disque RAID
Indisponibilité du serveur de fichiers
Mauvaise gestion des permissions / accès sur les dossiers partagés (serveur de fichiers)
Compromission de credentials VPN
Attaque par Déni de service ciblant notre serveur DNS authoritaire
Accès non autorisé au bastion
Mauvaise gestion des droits / accès dans l'AD
Création de règles firewall mal configurées / trop permissives
Mauvaise visibilité / mauvais logging du traffic réseau sur le firewall
Défacement du site web vitrine
mauvaise isolation des services sur le serveur Web (NGINX, bdd…)
anti‑spam/anti‑malware mal configuré (faux positifs ou passage de messages dangereux)
Plugin / add-on client mail (MUA) vulnérable
Backups automatiques non réalisées
Corruption des backups / backups incohérentes (backups de bases de données notamment) 
Génération indésirable / malveillante de certificats
Mauvais suivi / documentation / gestion des changements de configuration du parc
conflits entre playbooks de configuration et changements manuels sur les serveurs du parc
Accès / gestion des droits trop permissive sur le Coffre-Fort
Mots de passes stockés en clair hors du Coffre fort
Mauvaise remontée de logs
Escalade de privilèges sur Postes Windows / Linux
Modification/suppression des données depuis les postes Windows / Linux
Installation et exécution d'un virus sur un Poste utilisateur
Accès physique et exploitation du mode recovery des machines</v>
      </c>
    </row>
    <row r="5" spans="2:3" ht="409.6">
      <c r="B5" s="4" t="s">
        <v>175</v>
      </c>
      <c r="C5" s="4" t="str" cm="1">
        <f t="array" ref="C5">_xlfn.TEXTJOIN(CHAR(10), TRUE, _xlfn._xlws.FILTER(menaces[[Scénarios de menaces ]],menaces[Vraisemblance]="Significative"))</f>
        <v>Chiffrement des fichiers du Serveur de fichiers suite à une infection ransomware
Endpoint avec accès VPN compromis
Profils VPN / routage VPN trop permissifs
Serveurs DNS (resolveurs ou authoritaires) en panne
Compromission de serveurs DNS
Altération de nos enregistrements DNS par un tiers
Transferts de zone DNS non autorisés (AXFR mal configuré)
Mauvaise gestion des clés DNSSEC (perte, le vol, expiration...)
Compromission du bastion (et donc de toute l'infra)
Bastion en panne
Mauvaise surveillance des sessions admin ouvertes depuis le bastion
Modification/accès non autorisé à l'AD
Mauvaise politique de logs dans l'AD (perte de logs, évènements non journalisés...)
Firewall exposant son interface d'administration
Firewall en panne/ne fonctionnant pas 
Injections de requêtes (XSS…)
mauvaise gestion des patchs / mises à jour sur le serveur Web
Vol de la base de données de notre site Web
Serveurs mails en panne
Vol / détournement d'adresse mail / de compte avec email
Compromission d'un/des serveurs de mails
Altération (Man-in-the-middle) de nos mails en transit (corps ou en-têtes)
Manque de contrôle / visibilité dans le cas d'un cleint mail (MUA) sur smartphone
Serveur de backup en panne
Backups non isolées du réseau et / ou non immuables
Manque de stockage pour les backups
CA intermédiaire compromise
Serveur de publication des certificats (CA Intermédiaire) en panne
Vol de la base de données des certificats
CRL expirée ou indisponible
Serveur de gestion du parc (linux/Windows) compromis 
Accès non autorisé au serveur de gestion du parc (linux/Windows) par un tiers
Serveur de gestion du parc (linux/Windows) non accessible 
Vol de secrets stockés en clair dans le fichiers de configuration du parc
Serveur ERP non accessible 
Modification frauduleuse des données financières
Perte des données internes stockées sur l'ERP (vol, chiffrement, corruption…)
Mauvaise gestion de la base de données de l'ERP (complexification, ralentissement…)
Données métier sensibles non chiffrées sur l'ERP
Boycott / employés n'utilisant pas l'ERP
Boycott (ou évitement) du Coffre-Fort par les employés
Pas de backup du Coffre-Fort
Echec de restauration d'une backup du coffre fort
Suppression de logs
SIEM/EDR/EPP déconnectés du réseau
Règles Proxy mal définies
Mauvais routage Proxy
Règles Reverse Proxy mal définies
Mauvais routage (Reverse Proxy)
Exploitation de failles/CVE/zero-day surles Postes utilisateurs 
Abus des comptes Admin local sur les Postes utilisateurs
Postes Utilisateurs / applications sur les postes non mis à jour
Navigateurs web non sécurisés sur les Postes utilisateurs 
Intrusion et vol de matériel informatique</v>
      </c>
    </row>
    <row r="6" spans="2:3" ht="312.75" customHeight="1">
      <c r="B6" s="4" t="s">
        <v>172</v>
      </c>
      <c r="C6" s="4" t="str" cm="1">
        <f t="array" ref="C6">_xlfn.TEXTJOIN(CHAR(10), TRUE, _xlfn._xlws.FILTER(menaces[[Scénarios de menaces ]],menaces[Vraisemblance]="Minime"))</f>
        <v>Enregistrements DNS publics invalides
Manque de durcissement du Bastion
Panne / indisponibilité des DCs
Compromission d'un DC
Chiffrement de l'AD suite à une infection ransomware
Problèmes de réplication ou erreurs de configuration de la bdd Active Directory
Perte d'accès au firewall (administration)
Exposition involontaire des sous-réseaux sur internet 
Mauvaise segmentation des VLANs
Exposition de données sensibles sur le site web
Serveur web utilisé comme rebond pour accéder à l'infrastructure en interne (RODC, bdd…)
Pas de chiffrement des secrets lors de la récupération des mails (authentification)
Pas de chiffrement des mails (au repos ou en transit, sur tous les serveurs)
Mauvais patching des clients mail (MUA)
Compromission / accès illégitime au serveur de backup
Compromission / accès illégitime au compte de service utilisé pour les backups
CA Racine compromise 
Chiffrement des certificats cassé
Perte ou corruption des clés racine
Détournement des comptes de service utilisés par Ansible
Accès non désirable à l'ERP
Accès non autorisé au gestionnaire de secrets (Coffre-Fort)
Compromission du Coffre-Fort (= compromission des secrets de toute l'infra)
Perte des clés de chiffrement du Coffre-Fort
Accès non autorisé au SIEM
Exposition accidentelle d’une app interne (Reverse Proxy)
Attaque applicative par rebond (Reverse Proxy)
Abus d'une segmentation faible entre les LANs pour Postes utilisateurs et le reste de l'infra
Intrusion et destruction de matériel informatique
Incendies dans les locaux de l'entreprise
Dégâts des eaux/inondations
Sabotage ou destruction accidentelle de l'alimentation électrique/fibre</v>
      </c>
    </row>
    <row r="20" spans="2:3">
      <c r="B20" s="14"/>
    </row>
    <row r="23" spans="2:3">
      <c r="C23" s="23"/>
    </row>
  </sheetData>
  <phoneticPr fontId="2" type="noConversion"/>
  <conditionalFormatting sqref="B4:B6">
    <cfRule type="cellIs" dxfId="30" priority="1" operator="equal">
      <formula>"Minime"</formula>
    </cfRule>
    <cfRule type="cellIs" dxfId="29" priority="2" operator="equal">
      <formula>"Significative"</formula>
    </cfRule>
    <cfRule type="cellIs" dxfId="28" priority="3" operator="equal">
      <formula>"Forte"</formula>
    </cfRule>
    <cfRule type="cellIs" dxfId="27" priority="4" operator="equal">
      <formula>"Maximale"</formula>
    </cfRule>
  </conditionalFormatting>
  <conditionalFormatting sqref="B2:C2">
    <cfRule type="cellIs" dxfId="26" priority="21" operator="equal">
      <formula>"Minime"</formula>
    </cfRule>
    <cfRule type="cellIs" dxfId="25" priority="22" operator="equal">
      <formula>"Significative"</formula>
    </cfRule>
    <cfRule type="cellIs" dxfId="24" priority="23" operator="equal">
      <formula>"Forte"</formula>
    </cfRule>
    <cfRule type="cellIs" dxfId="23" priority="24" operator="equal">
      <formula>"Maximale"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8286-866D-174E-9839-0BD212FEA521}">
  <sheetPr codeName="Feuil3">
    <tabColor theme="4" tint="0.79998168889431442"/>
  </sheetPr>
  <dimension ref="B3:G35"/>
  <sheetViews>
    <sheetView showGridLines="0" zoomScale="56" zoomScaleNormal="115" workbookViewId="0">
      <selection activeCell="C19" sqref="C19"/>
    </sheetView>
  </sheetViews>
  <sheetFormatPr defaultColWidth="11.42578125" defaultRowHeight="15" customHeight="1"/>
  <cols>
    <col min="1" max="1" width="4.140625" customWidth="1"/>
    <col min="2" max="2" width="36.85546875" customWidth="1"/>
    <col min="3" max="3" width="150.85546875" style="1" customWidth="1"/>
    <col min="4" max="4" width="40.140625" style="1" customWidth="1"/>
    <col min="5" max="7" width="14.85546875" style="2" customWidth="1"/>
  </cols>
  <sheetData>
    <row r="3" spans="2:7" s="2" customFormat="1" ht="14.45">
      <c r="B3" s="137" t="s">
        <v>561</v>
      </c>
      <c r="C3" s="53" t="s">
        <v>562</v>
      </c>
      <c r="D3" s="138" t="s">
        <v>563</v>
      </c>
      <c r="E3" s="54" t="s">
        <v>564</v>
      </c>
      <c r="F3" s="54" t="s">
        <v>565</v>
      </c>
      <c r="G3" s="54" t="s">
        <v>566</v>
      </c>
    </row>
    <row r="4" spans="2:7" ht="14.45">
      <c r="B4" s="134" t="s">
        <v>567</v>
      </c>
      <c r="C4" s="56" t="s">
        <v>568</v>
      </c>
      <c r="D4" s="135" t="s">
        <v>569</v>
      </c>
      <c r="E4" s="55" t="s">
        <v>247</v>
      </c>
      <c r="F4" s="55" t="s">
        <v>247</v>
      </c>
      <c r="G4" s="55" t="s">
        <v>247</v>
      </c>
    </row>
    <row r="5" spans="2:7" ht="14.45">
      <c r="B5" s="134" t="s">
        <v>570</v>
      </c>
      <c r="C5" s="56" t="s">
        <v>571</v>
      </c>
      <c r="D5" s="133" t="s">
        <v>572</v>
      </c>
      <c r="E5" s="55" t="s">
        <v>247</v>
      </c>
      <c r="F5" s="55" t="s">
        <v>247</v>
      </c>
      <c r="G5" s="55"/>
    </row>
    <row r="6" spans="2:7" ht="14.45">
      <c r="B6" s="134" t="s">
        <v>573</v>
      </c>
      <c r="C6" s="56" t="s">
        <v>574</v>
      </c>
      <c r="D6" s="135" t="s">
        <v>575</v>
      </c>
      <c r="E6" s="55" t="s">
        <v>247</v>
      </c>
      <c r="F6" s="55" t="s">
        <v>247</v>
      </c>
      <c r="G6" s="55"/>
    </row>
    <row r="7" spans="2:7" ht="14.45">
      <c r="B7" s="134" t="s">
        <v>576</v>
      </c>
      <c r="C7" s="56" t="s">
        <v>577</v>
      </c>
      <c r="D7" s="132" t="s">
        <v>578</v>
      </c>
      <c r="E7" s="55" t="s">
        <v>247</v>
      </c>
      <c r="F7" s="55" t="s">
        <v>247</v>
      </c>
      <c r="G7" s="55"/>
    </row>
    <row r="8" spans="2:7" ht="14.45">
      <c r="B8" s="134" t="s">
        <v>579</v>
      </c>
      <c r="C8" s="56" t="s">
        <v>580</v>
      </c>
      <c r="D8" s="133" t="s">
        <v>581</v>
      </c>
      <c r="E8" s="55" t="s">
        <v>247</v>
      </c>
      <c r="F8" s="55" t="s">
        <v>247</v>
      </c>
      <c r="G8" s="55" t="s">
        <v>247</v>
      </c>
    </row>
    <row r="9" spans="2:7" ht="14.45">
      <c r="B9" s="134" t="s">
        <v>582</v>
      </c>
      <c r="C9" s="56" t="s">
        <v>583</v>
      </c>
      <c r="D9" s="136" t="s">
        <v>584</v>
      </c>
      <c r="E9" s="55" t="s">
        <v>247</v>
      </c>
      <c r="F9" s="55" t="s">
        <v>247</v>
      </c>
      <c r="G9" s="55"/>
    </row>
    <row r="10" spans="2:7" ht="14.45">
      <c r="B10" s="134" t="s">
        <v>585</v>
      </c>
      <c r="C10" s="56" t="s">
        <v>586</v>
      </c>
      <c r="D10" s="133" t="s">
        <v>587</v>
      </c>
      <c r="E10" s="55" t="s">
        <v>247</v>
      </c>
      <c r="F10" s="55" t="s">
        <v>247</v>
      </c>
      <c r="G10" s="55"/>
    </row>
    <row r="11" spans="2:7" ht="14.45">
      <c r="B11" s="134" t="s">
        <v>588</v>
      </c>
      <c r="C11" s="56" t="s">
        <v>589</v>
      </c>
      <c r="D11" s="133" t="s">
        <v>590</v>
      </c>
      <c r="E11" s="55" t="s">
        <v>247</v>
      </c>
      <c r="F11" s="55" t="s">
        <v>247</v>
      </c>
      <c r="G11" s="55"/>
    </row>
    <row r="12" spans="2:7" ht="14.45">
      <c r="B12" s="134" t="s">
        <v>591</v>
      </c>
      <c r="C12" s="56" t="s">
        <v>592</v>
      </c>
      <c r="D12" s="133" t="s">
        <v>593</v>
      </c>
      <c r="E12" s="55" t="s">
        <v>247</v>
      </c>
      <c r="F12" s="55"/>
      <c r="G12" s="55"/>
    </row>
    <row r="13" spans="2:7" ht="15" customHeight="1">
      <c r="B13" s="134" t="s">
        <v>594</v>
      </c>
      <c r="C13" s="56" t="s">
        <v>595</v>
      </c>
      <c r="D13" s="133" t="s">
        <v>596</v>
      </c>
      <c r="E13" s="55" t="s">
        <v>247</v>
      </c>
      <c r="F13" s="55" t="s">
        <v>247</v>
      </c>
      <c r="G13" s="55" t="s">
        <v>247</v>
      </c>
    </row>
    <row r="14" spans="2:7" ht="15" customHeight="1">
      <c r="B14" s="134" t="s">
        <v>597</v>
      </c>
      <c r="C14" s="56" t="s">
        <v>598</v>
      </c>
      <c r="D14" s="135" t="s">
        <v>599</v>
      </c>
      <c r="E14" s="55" t="s">
        <v>247</v>
      </c>
      <c r="F14" s="55" t="s">
        <v>247</v>
      </c>
      <c r="G14" s="55"/>
    </row>
    <row r="15" spans="2:7" ht="15" customHeight="1">
      <c r="B15" s="134" t="s">
        <v>600</v>
      </c>
      <c r="C15" s="56" t="s">
        <v>601</v>
      </c>
      <c r="D15" s="132" t="s">
        <v>602</v>
      </c>
      <c r="E15" s="55" t="s">
        <v>247</v>
      </c>
      <c r="F15" s="55" t="s">
        <v>247</v>
      </c>
      <c r="G15" s="55" t="s">
        <v>247</v>
      </c>
    </row>
    <row r="16" spans="2:7" ht="15" customHeight="1">
      <c r="B16" s="134" t="s">
        <v>603</v>
      </c>
      <c r="C16" s="56" t="s">
        <v>604</v>
      </c>
      <c r="D16" s="133" t="s">
        <v>605</v>
      </c>
      <c r="E16" s="55" t="s">
        <v>247</v>
      </c>
      <c r="F16" s="55" t="s">
        <v>247</v>
      </c>
      <c r="G16" s="55"/>
    </row>
    <row r="17" spans="2:7" ht="15" customHeight="1">
      <c r="B17" s="315" t="s">
        <v>606</v>
      </c>
      <c r="C17" s="316" t="s">
        <v>607</v>
      </c>
      <c r="D17" s="317" t="s">
        <v>608</v>
      </c>
      <c r="E17" s="318" t="s">
        <v>247</v>
      </c>
      <c r="F17" s="318" t="s">
        <v>247</v>
      </c>
      <c r="G17" s="318" t="s">
        <v>247</v>
      </c>
    </row>
    <row r="18" spans="2:7" ht="30.75" customHeight="1">
      <c r="B18" s="56" t="s">
        <v>609</v>
      </c>
      <c r="C18" s="313" t="s">
        <v>610</v>
      </c>
      <c r="D18" s="319" t="s">
        <v>611</v>
      </c>
      <c r="E18" s="314"/>
      <c r="F18" s="314"/>
      <c r="G18" s="314"/>
    </row>
    <row r="19" spans="2:7" ht="15" customHeight="1">
      <c r="B19" s="56" t="s">
        <v>612</v>
      </c>
      <c r="C19" s="313" t="s">
        <v>613</v>
      </c>
      <c r="D19" s="313" t="s">
        <v>614</v>
      </c>
      <c r="E19" s="314"/>
      <c r="F19" s="314"/>
      <c r="G19" s="314"/>
    </row>
    <row r="29" spans="2:7" ht="15" customHeight="1">
      <c r="C29" s="50"/>
    </row>
    <row r="30" spans="2:7" ht="15" customHeight="1">
      <c r="C30" s="50"/>
    </row>
    <row r="31" spans="2:7" ht="15" customHeight="1">
      <c r="C31" s="50"/>
    </row>
    <row r="32" spans="2:7" ht="15" customHeight="1">
      <c r="C32" s="50"/>
    </row>
    <row r="33" spans="3:3" ht="15" customHeight="1">
      <c r="C33" s="50"/>
    </row>
    <row r="34" spans="3:3" ht="15" customHeight="1">
      <c r="C34" s="50"/>
    </row>
    <row r="35" spans="3:3" ht="15" customHeight="1">
      <c r="C35" s="50"/>
    </row>
  </sheetData>
  <dataValidations count="2">
    <dataValidation type="list" allowBlank="1" showInputMessage="1" showErrorMessage="1" sqref="E1:G3 E18:G1048576" xr:uid="{DDB713BE-2748-0C4E-A754-2B3E131ED16E}">
      <formula1>#REF!</formula1>
    </dataValidation>
    <dataValidation allowBlank="1" showInputMessage="1" showErrorMessage="1" sqref="E13:G17" xr:uid="{69913E37-720D-4464-A017-86E16CA3E76B}"/>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0486-C3B2-472C-ABE9-549B2429FBF8}">
  <sheetPr>
    <tabColor theme="4" tint="0.79998168889431442"/>
  </sheetPr>
  <dimension ref="A1:F41"/>
  <sheetViews>
    <sheetView showGridLines="0" zoomScale="50" zoomScaleNormal="115" workbookViewId="0">
      <selection activeCell="D36" sqref="D36"/>
    </sheetView>
  </sheetViews>
  <sheetFormatPr defaultColWidth="11.42578125" defaultRowHeight="14.45"/>
  <cols>
    <col min="1" max="1" width="11.42578125" style="3"/>
    <col min="2" max="2" width="38.42578125" style="11" customWidth="1"/>
    <col min="3" max="3" width="80.42578125" style="11" customWidth="1"/>
    <col min="4" max="4" width="39" style="11" customWidth="1"/>
    <col min="5" max="5" width="40.140625" style="11" customWidth="1"/>
    <col min="6" max="6" width="38.28515625" style="3" customWidth="1"/>
    <col min="7" max="16384" width="11.42578125" style="3"/>
  </cols>
  <sheetData>
    <row r="1" spans="1:6">
      <c r="A1" s="51"/>
      <c r="B1" s="51"/>
      <c r="C1" s="51"/>
      <c r="D1" s="51"/>
      <c r="E1" s="51"/>
      <c r="F1" s="52"/>
    </row>
    <row r="2" spans="1:6">
      <c r="A2" s="51"/>
      <c r="B2" s="168" t="s">
        <v>615</v>
      </c>
      <c r="C2" s="292" t="s">
        <v>616</v>
      </c>
      <c r="D2" s="51"/>
      <c r="E2" s="51"/>
      <c r="F2" s="52"/>
    </row>
    <row r="3" spans="1:6" s="14" customFormat="1">
      <c r="A3" s="51"/>
      <c r="B3" s="51"/>
      <c r="C3" s="51"/>
      <c r="D3" s="51"/>
      <c r="E3" s="51"/>
      <c r="F3" s="51"/>
    </row>
    <row r="4" spans="1:6">
      <c r="A4" s="51"/>
      <c r="B4" s="150" t="s">
        <v>561</v>
      </c>
      <c r="C4" s="144" t="s">
        <v>617</v>
      </c>
      <c r="D4" s="156" t="s">
        <v>563</v>
      </c>
      <c r="E4" s="144" t="s">
        <v>618</v>
      </c>
      <c r="F4" s="162" t="s">
        <v>619</v>
      </c>
    </row>
    <row r="5" spans="1:6">
      <c r="A5" s="51"/>
      <c r="B5" s="151" t="s">
        <v>620</v>
      </c>
      <c r="C5" s="145" t="s">
        <v>621</v>
      </c>
      <c r="D5" s="157" t="s">
        <v>622</v>
      </c>
      <c r="E5" s="145" t="s">
        <v>623</v>
      </c>
      <c r="F5" s="163" t="s">
        <v>624</v>
      </c>
    </row>
    <row r="6" spans="1:6">
      <c r="A6" s="51"/>
      <c r="B6" s="152" t="s">
        <v>620</v>
      </c>
      <c r="C6" s="146" t="s">
        <v>625</v>
      </c>
      <c r="D6" s="158" t="s">
        <v>626</v>
      </c>
      <c r="E6" s="146" t="s">
        <v>627</v>
      </c>
      <c r="F6" s="164" t="s">
        <v>628</v>
      </c>
    </row>
    <row r="7" spans="1:6">
      <c r="A7" s="51"/>
      <c r="B7" s="152" t="s">
        <v>383</v>
      </c>
      <c r="C7" s="146" t="s">
        <v>629</v>
      </c>
      <c r="D7" s="158" t="s">
        <v>630</v>
      </c>
      <c r="E7" s="146" t="s">
        <v>627</v>
      </c>
      <c r="F7" s="164" t="s">
        <v>624</v>
      </c>
    </row>
    <row r="8" spans="1:6">
      <c r="A8" s="51"/>
      <c r="B8" s="152" t="s">
        <v>383</v>
      </c>
      <c r="C8" s="146" t="s">
        <v>631</v>
      </c>
      <c r="D8" s="158" t="s">
        <v>632</v>
      </c>
      <c r="E8" s="146" t="s">
        <v>623</v>
      </c>
      <c r="F8" s="164" t="s">
        <v>633</v>
      </c>
    </row>
    <row r="9" spans="1:6">
      <c r="A9" s="51"/>
      <c r="B9" s="152" t="s">
        <v>254</v>
      </c>
      <c r="C9" s="146" t="s">
        <v>634</v>
      </c>
      <c r="D9" s="158" t="s">
        <v>635</v>
      </c>
      <c r="E9" s="146" t="s">
        <v>636</v>
      </c>
      <c r="F9" s="164" t="s">
        <v>637</v>
      </c>
    </row>
    <row r="10" spans="1:6">
      <c r="A10" s="51"/>
      <c r="B10" s="152" t="s">
        <v>254</v>
      </c>
      <c r="C10" s="146" t="s">
        <v>638</v>
      </c>
      <c r="D10" s="158" t="s">
        <v>639</v>
      </c>
      <c r="E10" s="146" t="s">
        <v>640</v>
      </c>
      <c r="F10" s="164" t="s">
        <v>641</v>
      </c>
    </row>
    <row r="11" spans="1:6">
      <c r="A11" s="51"/>
      <c r="B11" s="152" t="s">
        <v>642</v>
      </c>
      <c r="C11" s="146" t="s">
        <v>643</v>
      </c>
      <c r="D11" s="158" t="s">
        <v>644</v>
      </c>
      <c r="E11" s="146" t="s">
        <v>636</v>
      </c>
      <c r="F11" s="164" t="s">
        <v>645</v>
      </c>
    </row>
    <row r="12" spans="1:6">
      <c r="A12" s="51"/>
      <c r="B12" s="152" t="s">
        <v>6</v>
      </c>
      <c r="C12" s="146" t="s">
        <v>646</v>
      </c>
      <c r="D12" s="158" t="s">
        <v>647</v>
      </c>
      <c r="E12" s="146" t="s">
        <v>648</v>
      </c>
      <c r="F12" s="164" t="s">
        <v>649</v>
      </c>
    </row>
    <row r="13" spans="1:6">
      <c r="A13" s="51"/>
      <c r="B13" s="152" t="s">
        <v>6</v>
      </c>
      <c r="C13" s="146" t="s">
        <v>650</v>
      </c>
      <c r="D13" s="158" t="s">
        <v>651</v>
      </c>
      <c r="E13" s="146" t="s">
        <v>648</v>
      </c>
      <c r="F13" s="164" t="s">
        <v>652</v>
      </c>
    </row>
    <row r="14" spans="1:6">
      <c r="A14" s="51"/>
      <c r="B14" s="152" t="s">
        <v>249</v>
      </c>
      <c r="C14" s="146" t="s">
        <v>653</v>
      </c>
      <c r="D14" s="158" t="s">
        <v>654</v>
      </c>
      <c r="E14" s="146" t="s">
        <v>655</v>
      </c>
      <c r="F14" s="164" t="s">
        <v>656</v>
      </c>
    </row>
    <row r="15" spans="1:6">
      <c r="A15" s="51"/>
      <c r="B15" s="152" t="s">
        <v>249</v>
      </c>
      <c r="C15" s="146" t="s">
        <v>657</v>
      </c>
      <c r="D15" s="158" t="s">
        <v>658</v>
      </c>
      <c r="E15" s="146" t="s">
        <v>659</v>
      </c>
      <c r="F15" s="164" t="s">
        <v>660</v>
      </c>
    </row>
    <row r="16" spans="1:6">
      <c r="A16" s="51"/>
      <c r="B16" s="152" t="s">
        <v>661</v>
      </c>
      <c r="C16" s="146" t="s">
        <v>662</v>
      </c>
      <c r="D16" s="158" t="s">
        <v>663</v>
      </c>
      <c r="E16" s="146" t="s">
        <v>664</v>
      </c>
      <c r="F16" s="164" t="s">
        <v>665</v>
      </c>
    </row>
    <row r="17" spans="1:6">
      <c r="A17" s="51"/>
      <c r="B17" s="152" t="s">
        <v>661</v>
      </c>
      <c r="C17" s="146" t="s">
        <v>666</v>
      </c>
      <c r="D17" s="158" t="s">
        <v>667</v>
      </c>
      <c r="E17" s="146" t="s">
        <v>664</v>
      </c>
      <c r="F17" s="164" t="s">
        <v>668</v>
      </c>
    </row>
    <row r="18" spans="1:6">
      <c r="A18" s="51"/>
      <c r="B18" s="152" t="s">
        <v>669</v>
      </c>
      <c r="C18" s="146" t="s">
        <v>670</v>
      </c>
      <c r="D18" s="158" t="s">
        <v>671</v>
      </c>
      <c r="E18" s="146" t="s">
        <v>627</v>
      </c>
      <c r="F18" s="164" t="s">
        <v>672</v>
      </c>
    </row>
    <row r="19" spans="1:6">
      <c r="A19" s="51"/>
      <c r="B19" s="152" t="s">
        <v>669</v>
      </c>
      <c r="C19" s="146" t="s">
        <v>673</v>
      </c>
      <c r="D19" s="158" t="s">
        <v>674</v>
      </c>
      <c r="E19" s="146" t="s">
        <v>636</v>
      </c>
      <c r="F19" s="164" t="s">
        <v>675</v>
      </c>
    </row>
    <row r="20" spans="1:6">
      <c r="A20" s="51"/>
      <c r="B20" s="152" t="s">
        <v>12</v>
      </c>
      <c r="C20" s="146" t="s">
        <v>676</v>
      </c>
      <c r="D20" s="158" t="s">
        <v>677</v>
      </c>
      <c r="E20" s="146" t="s">
        <v>627</v>
      </c>
      <c r="F20" s="164" t="s">
        <v>678</v>
      </c>
    </row>
    <row r="21" spans="1:6">
      <c r="A21" s="51"/>
      <c r="B21" s="152" t="s">
        <v>12</v>
      </c>
      <c r="C21" s="146" t="s">
        <v>679</v>
      </c>
      <c r="D21" s="158" t="s">
        <v>680</v>
      </c>
      <c r="E21" s="146" t="s">
        <v>627</v>
      </c>
      <c r="F21" s="164" t="s">
        <v>681</v>
      </c>
    </row>
    <row r="22" spans="1:6">
      <c r="A22" s="51"/>
      <c r="B22" s="152" t="s">
        <v>682</v>
      </c>
      <c r="C22" s="146" t="s">
        <v>683</v>
      </c>
      <c r="D22" s="158" t="s">
        <v>684</v>
      </c>
      <c r="E22" s="146" t="s">
        <v>636</v>
      </c>
      <c r="F22" s="164" t="s">
        <v>685</v>
      </c>
    </row>
    <row r="23" spans="1:6">
      <c r="A23" s="51"/>
      <c r="B23" s="152" t="s">
        <v>682</v>
      </c>
      <c r="C23" s="146" t="s">
        <v>686</v>
      </c>
      <c r="D23" s="158" t="s">
        <v>687</v>
      </c>
      <c r="E23" s="146" t="s">
        <v>636</v>
      </c>
      <c r="F23" s="164" t="s">
        <v>688</v>
      </c>
    </row>
    <row r="24" spans="1:6">
      <c r="A24" s="51"/>
      <c r="B24" s="152" t="s">
        <v>20</v>
      </c>
      <c r="C24" s="146" t="s">
        <v>689</v>
      </c>
      <c r="D24" s="158" t="s">
        <v>690</v>
      </c>
      <c r="E24" s="146" t="s">
        <v>648</v>
      </c>
      <c r="F24" s="164" t="s">
        <v>691</v>
      </c>
    </row>
    <row r="25" spans="1:6">
      <c r="A25" s="51"/>
      <c r="B25" s="152" t="s">
        <v>20</v>
      </c>
      <c r="C25" s="146" t="s">
        <v>692</v>
      </c>
      <c r="D25" s="158" t="s">
        <v>693</v>
      </c>
      <c r="E25" s="146" t="s">
        <v>659</v>
      </c>
      <c r="F25" s="164" t="s">
        <v>694</v>
      </c>
    </row>
    <row r="26" spans="1:6">
      <c r="A26" s="51"/>
      <c r="B26" s="152" t="s">
        <v>30</v>
      </c>
      <c r="C26" s="146" t="s">
        <v>695</v>
      </c>
      <c r="D26" s="158" t="s">
        <v>696</v>
      </c>
      <c r="E26" s="146" t="s">
        <v>640</v>
      </c>
      <c r="F26" s="164" t="s">
        <v>697</v>
      </c>
    </row>
    <row r="27" spans="1:6">
      <c r="A27" s="51"/>
      <c r="B27" s="152" t="s">
        <v>30</v>
      </c>
      <c r="C27" s="146" t="s">
        <v>698</v>
      </c>
      <c r="D27" s="158" t="s">
        <v>699</v>
      </c>
      <c r="E27" s="146" t="s">
        <v>627</v>
      </c>
      <c r="F27" s="164" t="s">
        <v>628</v>
      </c>
    </row>
    <row r="28" spans="1:6">
      <c r="A28" s="51"/>
      <c r="B28" s="152" t="s">
        <v>9</v>
      </c>
      <c r="C28" s="146" t="s">
        <v>700</v>
      </c>
      <c r="D28" s="158" t="s">
        <v>701</v>
      </c>
      <c r="E28" s="146" t="s">
        <v>636</v>
      </c>
      <c r="F28" s="164" t="s">
        <v>702</v>
      </c>
    </row>
    <row r="29" spans="1:6">
      <c r="A29" s="51"/>
      <c r="B29" s="152" t="s">
        <v>9</v>
      </c>
      <c r="C29" s="146" t="s">
        <v>703</v>
      </c>
      <c r="D29" s="158" t="s">
        <v>704</v>
      </c>
      <c r="E29" s="146" t="s">
        <v>627</v>
      </c>
      <c r="F29" s="164" t="s">
        <v>705</v>
      </c>
    </row>
    <row r="30" spans="1:6">
      <c r="A30" s="51"/>
      <c r="B30" s="152" t="s">
        <v>706</v>
      </c>
      <c r="C30" s="146" t="s">
        <v>707</v>
      </c>
      <c r="D30" s="158" t="s">
        <v>708</v>
      </c>
      <c r="E30" s="146" t="s">
        <v>659</v>
      </c>
      <c r="F30" s="164" t="s">
        <v>709</v>
      </c>
    </row>
    <row r="31" spans="1:6">
      <c r="A31" s="51"/>
      <c r="B31" s="152" t="s">
        <v>706</v>
      </c>
      <c r="C31" s="146" t="s">
        <v>710</v>
      </c>
      <c r="D31" s="158" t="s">
        <v>711</v>
      </c>
      <c r="E31" s="146" t="s">
        <v>659</v>
      </c>
      <c r="F31" s="164" t="s">
        <v>712</v>
      </c>
    </row>
    <row r="32" spans="1:6">
      <c r="A32" s="51"/>
      <c r="B32" s="152" t="s">
        <v>713</v>
      </c>
      <c r="C32" s="146" t="s">
        <v>714</v>
      </c>
      <c r="D32" s="158" t="s">
        <v>39</v>
      </c>
      <c r="E32" s="146" t="s">
        <v>715</v>
      </c>
      <c r="F32" s="164" t="s">
        <v>716</v>
      </c>
    </row>
    <row r="33" spans="1:6">
      <c r="A33" s="51"/>
      <c r="B33" s="152" t="s">
        <v>713</v>
      </c>
      <c r="C33" s="146" t="s">
        <v>717</v>
      </c>
      <c r="D33" s="158" t="s">
        <v>718</v>
      </c>
      <c r="E33" s="146" t="s">
        <v>627</v>
      </c>
      <c r="F33" s="164" t="s">
        <v>719</v>
      </c>
    </row>
    <row r="34" spans="1:6">
      <c r="A34" s="51"/>
      <c r="B34" s="153" t="s">
        <v>720</v>
      </c>
      <c r="C34" s="147" t="s">
        <v>721</v>
      </c>
      <c r="D34" s="159" t="s">
        <v>722</v>
      </c>
      <c r="E34" s="147"/>
      <c r="F34" s="165"/>
    </row>
    <row r="35" spans="1:6">
      <c r="A35" s="51"/>
      <c r="B35" s="154" t="s">
        <v>723</v>
      </c>
      <c r="C35" s="148" t="s">
        <v>724</v>
      </c>
      <c r="D35" s="160" t="s">
        <v>725</v>
      </c>
      <c r="E35" s="148"/>
      <c r="F35" s="166"/>
    </row>
    <row r="36" spans="1:6">
      <c r="A36" s="51"/>
      <c r="B36" s="154" t="s">
        <v>726</v>
      </c>
      <c r="C36" s="148" t="s">
        <v>727</v>
      </c>
      <c r="D36" s="160" t="s">
        <v>728</v>
      </c>
      <c r="E36" s="148"/>
      <c r="F36" s="166"/>
    </row>
    <row r="37" spans="1:6">
      <c r="A37" s="51"/>
      <c r="B37" s="154" t="s">
        <v>729</v>
      </c>
      <c r="C37" s="148" t="s">
        <v>730</v>
      </c>
      <c r="D37" s="160" t="s">
        <v>731</v>
      </c>
      <c r="E37" s="148"/>
      <c r="F37" s="166"/>
    </row>
    <row r="38" spans="1:6">
      <c r="A38" s="51"/>
      <c r="B38" s="154"/>
      <c r="C38" s="148"/>
      <c r="D38" s="160"/>
      <c r="E38" s="148"/>
      <c r="F38" s="166"/>
    </row>
    <row r="39" spans="1:6">
      <c r="A39" s="51"/>
      <c r="B39" s="154"/>
      <c r="C39" s="148"/>
      <c r="D39" s="160"/>
      <c r="E39" s="148"/>
      <c r="F39" s="166"/>
    </row>
    <row r="40" spans="1:6">
      <c r="A40" s="51"/>
      <c r="B40" s="154"/>
      <c r="C40" s="148"/>
      <c r="D40" s="160"/>
      <c r="E40" s="148"/>
      <c r="F40" s="166"/>
    </row>
    <row r="41" spans="1:6">
      <c r="A41" s="52"/>
      <c r="B41" s="155"/>
      <c r="C41" s="149"/>
      <c r="D41" s="161"/>
      <c r="E41" s="149"/>
      <c r="F41" s="167"/>
    </row>
  </sheetData>
  <hyperlinks>
    <hyperlink ref="C2" r:id="rId1" xr:uid="{818ADACF-F85C-4153-B0E8-B92D3FD6230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8AA1E-F6B9-4EFF-8D92-EB9704FABA8D}">
  <sheetPr>
    <tabColor theme="9" tint="0.79998168889431442"/>
  </sheetPr>
  <dimension ref="A1:R136"/>
  <sheetViews>
    <sheetView showGridLines="0" tabSelected="1" topLeftCell="A57" zoomScale="55" zoomScaleNormal="55" zoomScaleSheetLayoutView="50" zoomScalePageLayoutView="77" workbookViewId="0">
      <selection activeCell="G81" sqref="G81:I84"/>
    </sheetView>
  </sheetViews>
  <sheetFormatPr defaultColWidth="10.85546875" defaultRowHeight="14.45"/>
  <cols>
    <col min="1" max="1" width="7.85546875" style="301" bestFit="1" customWidth="1"/>
    <col min="2" max="2" width="56.42578125" style="11" customWidth="1"/>
    <col min="3" max="3" width="16.28515625" style="14" hidden="1" customWidth="1"/>
    <col min="4" max="4" width="20.85546875" style="14" hidden="1" customWidth="1"/>
    <col min="5" max="5" width="2.28515625" style="11" hidden="1" customWidth="1"/>
    <col min="6" max="6" width="11.85546875" style="14" bestFit="1" customWidth="1"/>
    <col min="7" max="7" width="78.42578125" style="11" customWidth="1"/>
    <col min="8" max="8" width="44" style="1" hidden="1" customWidth="1"/>
    <col min="9" max="9" width="15.85546875" style="12" bestFit="1" customWidth="1"/>
    <col min="10" max="10" width="70.28515625" style="12" customWidth="1"/>
    <col min="11" max="11" width="5.85546875" style="14" hidden="1" customWidth="1"/>
    <col min="12" max="12" width="18.28515625" style="14" hidden="1" customWidth="1"/>
    <col min="13" max="13" width="10.28515625" style="14" hidden="1" customWidth="1"/>
    <col min="14" max="14" width="29.42578125" style="14" hidden="1" customWidth="1"/>
    <col min="15" max="15" width="25.85546875" style="12" customWidth="1"/>
    <col min="16" max="16" width="18.7109375" style="11" customWidth="1"/>
    <col min="17" max="17" width="66.5703125" style="11" customWidth="1"/>
    <col min="18" max="18" width="25.140625" style="11" customWidth="1"/>
    <col min="19" max="19" width="10.85546875" style="11" customWidth="1"/>
    <col min="20" max="16384" width="10.85546875" style="11"/>
  </cols>
  <sheetData>
    <row r="1" spans="1:18">
      <c r="B1" s="426" t="s">
        <v>732</v>
      </c>
      <c r="C1" s="427"/>
      <c r="D1" s="427"/>
      <c r="E1" s="427"/>
      <c r="F1" s="428"/>
      <c r="G1" s="426" t="s">
        <v>733</v>
      </c>
      <c r="H1" s="427"/>
      <c r="I1" s="428"/>
      <c r="J1" s="426" t="s">
        <v>562</v>
      </c>
      <c r="K1" s="427"/>
      <c r="L1" s="427"/>
      <c r="M1" s="427"/>
      <c r="N1" s="428"/>
      <c r="O1" s="426" t="s">
        <v>734</v>
      </c>
      <c r="P1" s="428"/>
      <c r="Q1" s="426" t="s">
        <v>617</v>
      </c>
      <c r="R1" s="428"/>
    </row>
    <row r="2" spans="1:18" ht="43.9" customHeight="1">
      <c r="A2" s="26" t="s">
        <v>735</v>
      </c>
      <c r="B2" s="25" t="s">
        <v>259</v>
      </c>
      <c r="C2" s="26" t="s">
        <v>260</v>
      </c>
      <c r="D2" s="26" t="s">
        <v>736</v>
      </c>
      <c r="E2" s="26" t="s">
        <v>257</v>
      </c>
      <c r="F2" s="26" t="s">
        <v>265</v>
      </c>
      <c r="G2" s="25" t="s">
        <v>737</v>
      </c>
      <c r="H2" s="291" t="s">
        <v>51</v>
      </c>
      <c r="I2" s="290" t="s">
        <v>368</v>
      </c>
      <c r="J2" s="26" t="s">
        <v>738</v>
      </c>
      <c r="K2" s="26" t="s">
        <v>739</v>
      </c>
      <c r="L2" s="26" t="s">
        <v>564</v>
      </c>
      <c r="M2" s="26" t="s">
        <v>565</v>
      </c>
      <c r="N2" s="26" t="s">
        <v>566</v>
      </c>
      <c r="O2" s="25" t="s">
        <v>740</v>
      </c>
      <c r="P2" s="25" t="s">
        <v>741</v>
      </c>
      <c r="Q2" s="25" t="s">
        <v>742</v>
      </c>
      <c r="R2" s="25" t="s">
        <v>743</v>
      </c>
    </row>
    <row r="3" spans="1:18" ht="27" customHeight="1">
      <c r="A3" s="302">
        <v>1</v>
      </c>
      <c r="B3" s="1" t="s">
        <v>744</v>
      </c>
      <c r="C3" s="11"/>
      <c r="D3" s="11"/>
      <c r="F3" s="1" t="s">
        <v>168</v>
      </c>
      <c r="G3" s="11" t="str">
        <f>menaces[[#This Row],[Scénarios de menaces ]]</f>
        <v>Création, modification, suppression non désirable de fichiers sur le Serveur de fichiers</v>
      </c>
      <c r="H3" s="1" t="str">
        <f>menaces[[#This Row],[Sources de menaces]]</f>
        <v>Erreur humaine interne, Hacker</v>
      </c>
      <c r="I3" s="11" t="str">
        <f>menaces[[#This Row],[Vraisemblance]]</f>
        <v>Maximale</v>
      </c>
      <c r="J3" s="11" t="s">
        <v>745</v>
      </c>
      <c r="K3" s="11"/>
      <c r="L3" s="11"/>
      <c r="M3" s="11"/>
      <c r="N3" s="11"/>
      <c r="O3" s="12" t="s">
        <v>162</v>
      </c>
      <c r="P3" s="12" t="s">
        <v>175</v>
      </c>
      <c r="Q3" s="11" t="s">
        <v>746</v>
      </c>
      <c r="R3" s="12" t="s">
        <v>191</v>
      </c>
    </row>
    <row r="4" spans="1:18" ht="34.15" customHeight="1">
      <c r="A4" s="302">
        <f t="shared" ref="A4:A35" si="0">A3+1</f>
        <v>2</v>
      </c>
      <c r="B4" s="1" t="s">
        <v>747</v>
      </c>
      <c r="C4" s="11"/>
      <c r="D4" s="11"/>
      <c r="F4" s="1" t="s">
        <v>165</v>
      </c>
      <c r="G4" s="11" t="str">
        <f>menaces[[#This Row],[Scénarios de menaces ]]</f>
        <v>Synchronisation incorrecte entre serveurs de fichiers</v>
      </c>
      <c r="H4" s="1" t="str">
        <f>menaces[[#This Row],[Sources de menaces]]</f>
        <v>Erreur de réplication / mauvaise config</v>
      </c>
      <c r="I4" s="11" t="str">
        <f>menaces[[#This Row],[Vraisemblance]]</f>
        <v>Forte</v>
      </c>
      <c r="J4" s="12" t="s">
        <v>748</v>
      </c>
      <c r="K4" s="11"/>
      <c r="L4" s="11"/>
      <c r="M4" s="11"/>
      <c r="N4" s="11"/>
      <c r="O4" s="12" t="s">
        <v>162</v>
      </c>
      <c r="P4" s="12" t="s">
        <v>172</v>
      </c>
      <c r="Q4" s="11" t="s">
        <v>749</v>
      </c>
      <c r="R4" s="12" t="s">
        <v>191</v>
      </c>
    </row>
    <row r="5" spans="1:18" ht="15" customHeight="1">
      <c r="A5" s="302">
        <f t="shared" si="0"/>
        <v>3</v>
      </c>
      <c r="B5" s="1" t="s">
        <v>750</v>
      </c>
      <c r="C5" s="11"/>
      <c r="D5" s="11"/>
      <c r="F5" s="1" t="s">
        <v>168</v>
      </c>
      <c r="G5" s="11" t="str">
        <f>menaces[[#This Row],[Scénarios de menaces ]]</f>
        <v>Corruption des fichiers suite à panne disque RAID</v>
      </c>
      <c r="H5" s="1" t="str">
        <f>menaces[[#This Row],[Sources de menaces]]</f>
        <v>Panne matérielle / vieillissement</v>
      </c>
      <c r="I5" s="11" t="str">
        <f>menaces[[#This Row],[Vraisemblance]]</f>
        <v>Forte</v>
      </c>
      <c r="J5" s="12" t="s">
        <v>751</v>
      </c>
      <c r="K5" s="12" t="s">
        <v>165</v>
      </c>
      <c r="L5" s="12" t="s">
        <v>172</v>
      </c>
      <c r="M5" s="12" t="s">
        <v>752</v>
      </c>
      <c r="N5" s="12" t="s">
        <v>191</v>
      </c>
      <c r="O5" s="12" t="s">
        <v>165</v>
      </c>
      <c r="P5" s="12" t="s">
        <v>172</v>
      </c>
      <c r="Q5" s="11" t="s">
        <v>753</v>
      </c>
      <c r="R5" s="12" t="s">
        <v>191</v>
      </c>
    </row>
    <row r="6" spans="1:18" ht="15" customHeight="1">
      <c r="A6" s="302">
        <f t="shared" si="0"/>
        <v>4</v>
      </c>
      <c r="B6" s="1" t="s">
        <v>754</v>
      </c>
      <c r="C6" s="11"/>
      <c r="D6" s="11"/>
      <c r="F6" s="1" t="s">
        <v>165</v>
      </c>
      <c r="G6" s="11" t="str">
        <f>menaces[[#This Row],[Scénarios de menaces ]]</f>
        <v>Suppression accidentelle d’un dossier client par un employé</v>
      </c>
      <c r="H6" s="1" t="str">
        <f>menaces[[#This Row],[Sources de menaces]]</f>
        <v>Erreur humaine interne</v>
      </c>
      <c r="I6" s="11" t="str">
        <f>menaces[[#This Row],[Vraisemblance]]</f>
        <v>Maximale</v>
      </c>
      <c r="J6" s="12" t="s">
        <v>755</v>
      </c>
      <c r="K6" s="12" t="s">
        <v>162</v>
      </c>
      <c r="L6" s="12" t="s">
        <v>175</v>
      </c>
      <c r="M6" s="12" t="s">
        <v>756</v>
      </c>
      <c r="N6" s="12" t="s">
        <v>188</v>
      </c>
      <c r="O6" s="12" t="s">
        <v>162</v>
      </c>
      <c r="P6" s="12" t="s">
        <v>175</v>
      </c>
      <c r="Q6" s="11" t="s">
        <v>756</v>
      </c>
      <c r="R6" s="12" t="s">
        <v>188</v>
      </c>
    </row>
    <row r="7" spans="1:18" ht="26.45" customHeight="1">
      <c r="A7" s="302">
        <f t="shared" si="0"/>
        <v>5</v>
      </c>
      <c r="B7" s="1" t="s">
        <v>757</v>
      </c>
      <c r="C7" s="11"/>
      <c r="D7" s="11"/>
      <c r="F7" s="1" t="s">
        <v>168</v>
      </c>
      <c r="G7" s="11" t="str">
        <f>menaces[[#This Row],[Scénarios de menaces ]]</f>
        <v>Chiffrement des fichiers du Serveur de fichiers suite à une infection ransomware</v>
      </c>
      <c r="H7" s="1" t="str">
        <f>menaces[[#This Row],[Sources de menaces]]</f>
        <v>Malware / phishing / attaque technique</v>
      </c>
      <c r="I7" s="11" t="str">
        <f>menaces[[#This Row],[Vraisemblance]]</f>
        <v>Significative</v>
      </c>
      <c r="J7" s="12" t="s">
        <v>758</v>
      </c>
      <c r="K7" s="11"/>
      <c r="L7" s="11"/>
      <c r="M7" s="11"/>
      <c r="N7" s="11"/>
      <c r="O7" s="12" t="s">
        <v>168</v>
      </c>
      <c r="P7" s="12" t="s">
        <v>172</v>
      </c>
      <c r="Q7" s="11" t="s">
        <v>759</v>
      </c>
      <c r="R7" s="12" t="s">
        <v>194</v>
      </c>
    </row>
    <row r="8" spans="1:18" ht="28.15" hidden="1" customHeight="1">
      <c r="A8" s="302">
        <v>6</v>
      </c>
      <c r="B8" s="1"/>
      <c r="C8" s="11"/>
      <c r="D8" s="11"/>
      <c r="F8" s="1"/>
      <c r="I8" s="11"/>
      <c r="K8" s="11"/>
      <c r="L8" s="11"/>
      <c r="M8" s="11"/>
      <c r="N8" s="11"/>
      <c r="P8" s="12"/>
      <c r="R8" s="12"/>
    </row>
    <row r="9" spans="1:18" ht="15" customHeight="1">
      <c r="A9" s="302">
        <f t="shared" si="0"/>
        <v>7</v>
      </c>
      <c r="B9" s="1" t="s">
        <v>760</v>
      </c>
      <c r="C9" s="11"/>
      <c r="D9" s="11"/>
      <c r="F9" s="1" t="s">
        <v>168</v>
      </c>
      <c r="G9" s="11" t="str">
        <f>menaces[[#This Row],[Scénarios de menaces ]]</f>
        <v>Indisponibilité du serveur de fichiers</v>
      </c>
      <c r="H9" s="1" t="str">
        <f>menaces[[#This Row],[Sources de menaces]]</f>
        <v>Malware/attaque technique/erreur humaine interne</v>
      </c>
      <c r="I9" s="11" t="str">
        <f>menaces[[#This Row],[Vraisemblance]]</f>
        <v>Forte</v>
      </c>
      <c r="J9" s="12" t="s">
        <v>761</v>
      </c>
      <c r="K9" s="11"/>
      <c r="L9" s="11"/>
      <c r="M9" s="11"/>
      <c r="N9" s="11"/>
      <c r="O9" s="12" t="s">
        <v>168</v>
      </c>
      <c r="P9" s="12" t="s">
        <v>172</v>
      </c>
      <c r="Q9" s="11" t="s">
        <v>762</v>
      </c>
      <c r="R9" s="12" t="s">
        <v>191</v>
      </c>
    </row>
    <row r="10" spans="1:18" ht="28.15" customHeight="1">
      <c r="A10" s="302">
        <f t="shared" si="0"/>
        <v>8</v>
      </c>
      <c r="B10" s="1" t="s">
        <v>763</v>
      </c>
      <c r="C10" s="11"/>
      <c r="D10" s="11"/>
      <c r="F10" s="1" t="s">
        <v>165</v>
      </c>
      <c r="G10" s="11" t="str">
        <f>menaces[[#This Row],[Scénarios de menaces ]]</f>
        <v>Mauvaise gestion des permissions / accès sur les dossiers partagés (serveur de fichiers)</v>
      </c>
      <c r="H10" s="1" t="str">
        <f>menaces[[#This Row],[Sources de menaces]]</f>
        <v>Erreur humaine interne, négligence</v>
      </c>
      <c r="I10" s="11" t="str">
        <f>menaces[[#This Row],[Vraisemblance]]</f>
        <v>Forte</v>
      </c>
      <c r="J10" s="12" t="s">
        <v>764</v>
      </c>
      <c r="K10" s="11"/>
      <c r="L10" s="11"/>
      <c r="M10" s="11"/>
      <c r="N10" s="11"/>
      <c r="O10" s="12" t="s">
        <v>162</v>
      </c>
      <c r="P10" s="12" t="s">
        <v>172</v>
      </c>
      <c r="Q10" s="11" t="s">
        <v>765</v>
      </c>
      <c r="R10" s="12" t="s">
        <v>191</v>
      </c>
    </row>
    <row r="11" spans="1:18" ht="36.6" customHeight="1">
      <c r="A11" s="302">
        <f t="shared" si="0"/>
        <v>9</v>
      </c>
      <c r="B11" s="1" t="s">
        <v>766</v>
      </c>
      <c r="C11" s="11"/>
      <c r="D11" s="11"/>
      <c r="F11" s="1" t="s">
        <v>168</v>
      </c>
      <c r="G11" s="11" t="str">
        <f>menaces[[#This Row],[Scénarios de menaces ]]</f>
        <v>Compromission de credentials VPN</v>
      </c>
      <c r="H11" s="1" t="str">
        <f>menaces[[#This Row],[Sources de menaces]]</f>
        <v>Hacking/Fuite de credentials</v>
      </c>
      <c r="I11" s="11" t="str">
        <f>menaces[[#This Row],[Vraisemblance]]</f>
        <v>Forte</v>
      </c>
      <c r="J11" s="12" t="s">
        <v>767</v>
      </c>
      <c r="K11" s="11"/>
      <c r="L11" s="11"/>
      <c r="M11" s="11"/>
      <c r="N11" s="11"/>
      <c r="O11" s="12" t="s">
        <v>168</v>
      </c>
      <c r="P11" s="12" t="s">
        <v>175</v>
      </c>
      <c r="Q11" s="11" t="s">
        <v>768</v>
      </c>
      <c r="R11" s="12" t="s">
        <v>188</v>
      </c>
    </row>
    <row r="12" spans="1:18" ht="28.15" customHeight="1">
      <c r="A12" s="302">
        <f t="shared" si="0"/>
        <v>10</v>
      </c>
      <c r="B12" s="1" t="s">
        <v>766</v>
      </c>
      <c r="C12" s="11"/>
      <c r="D12" s="11"/>
      <c r="F12" s="1" t="s">
        <v>168</v>
      </c>
      <c r="G12" s="11" t="str">
        <f>menaces[[#This Row],[Scénarios de menaces ]]</f>
        <v>Endpoint avec accès VPN compromis</v>
      </c>
      <c r="H12" s="1" t="str">
        <f>menaces[[#This Row],[Sources de menaces]]</f>
        <v>Hacking, vol de PC, infection par un virus</v>
      </c>
      <c r="I12" s="11" t="str">
        <f>menaces[[#This Row],[Vraisemblance]]</f>
        <v>Significative</v>
      </c>
      <c r="J12" s="12" t="s">
        <v>769</v>
      </c>
      <c r="K12" s="11"/>
      <c r="L12" s="11"/>
      <c r="M12" s="11"/>
      <c r="N12" s="11"/>
      <c r="O12" s="12" t="s">
        <v>168</v>
      </c>
      <c r="P12" s="12" t="s">
        <v>175</v>
      </c>
      <c r="Q12" s="11" t="s">
        <v>770</v>
      </c>
      <c r="R12" s="12" t="s">
        <v>188</v>
      </c>
    </row>
    <row r="13" spans="1:18" ht="15" customHeight="1">
      <c r="A13" s="302">
        <f t="shared" si="0"/>
        <v>11</v>
      </c>
      <c r="B13" s="1" t="s">
        <v>771</v>
      </c>
      <c r="C13" s="11"/>
      <c r="D13" s="11"/>
      <c r="F13" s="1" t="s">
        <v>165</v>
      </c>
      <c r="G13" s="11" t="str">
        <f>menaces[[#This Row],[Scénarios de menaces ]]</f>
        <v>Profils VPN / routage VPN trop permissifs</v>
      </c>
      <c r="H13" s="1" t="str">
        <f>menaces[[#This Row],[Sources de menaces]]</f>
        <v>Erreur humaine interne, négligence</v>
      </c>
      <c r="I13" s="11" t="str">
        <f>menaces[[#This Row],[Vraisemblance]]</f>
        <v>Significative</v>
      </c>
      <c r="J13" s="12" t="s">
        <v>772</v>
      </c>
      <c r="K13" s="11"/>
      <c r="L13" s="11"/>
      <c r="M13" s="11"/>
      <c r="N13" s="11"/>
      <c r="O13" s="12" t="s">
        <v>165</v>
      </c>
      <c r="P13" s="12" t="s">
        <v>172</v>
      </c>
      <c r="Q13" s="11" t="s">
        <v>773</v>
      </c>
      <c r="R13" s="12" t="s">
        <v>191</v>
      </c>
    </row>
    <row r="14" spans="1:18" ht="15" customHeight="1">
      <c r="A14" s="302">
        <f t="shared" si="0"/>
        <v>12</v>
      </c>
      <c r="B14" s="1" t="s">
        <v>774</v>
      </c>
      <c r="C14" s="11"/>
      <c r="D14" s="11"/>
      <c r="F14" s="1" t="s">
        <v>165</v>
      </c>
      <c r="G14" s="11" t="str">
        <f>menaces[[#This Row],[Scénarios de menaces ]]</f>
        <v>Serveurs DNS (resolveurs ou authoritaires) en panne</v>
      </c>
      <c r="H14" s="1" t="str">
        <f>menaces[[#This Row],[Sources de menaces]]</f>
        <v>Hacker, problème technique</v>
      </c>
      <c r="I14" s="11" t="str">
        <f>menaces[[#This Row],[Vraisemblance]]</f>
        <v>Significative</v>
      </c>
      <c r="J14" s="12" t="s">
        <v>775</v>
      </c>
      <c r="K14" s="11"/>
      <c r="L14" s="11"/>
      <c r="M14" s="11"/>
      <c r="N14" s="11"/>
      <c r="O14" s="12" t="s">
        <v>165</v>
      </c>
      <c r="P14" s="12" t="s">
        <v>172</v>
      </c>
      <c r="Q14" s="11" t="s">
        <v>776</v>
      </c>
      <c r="R14" s="12" t="s">
        <v>188</v>
      </c>
    </row>
    <row r="15" spans="1:18" ht="15" customHeight="1">
      <c r="A15" s="302">
        <f t="shared" si="0"/>
        <v>13</v>
      </c>
      <c r="B15" s="1" t="s">
        <v>777</v>
      </c>
      <c r="C15" s="11"/>
      <c r="D15" s="11"/>
      <c r="F15" s="1" t="s">
        <v>165</v>
      </c>
      <c r="G15" s="11" t="str">
        <f>menaces[[#This Row],[Scénarios de menaces ]]</f>
        <v>Enregistrements DNS publics invalides</v>
      </c>
      <c r="H15" s="1" t="str">
        <f>menaces[[#This Row],[Sources de menaces]]</f>
        <v>Mauvaise configuration / mauvaise maintenance</v>
      </c>
      <c r="I15" s="11" t="str">
        <f>menaces[[#This Row],[Vraisemblance]]</f>
        <v>Minime</v>
      </c>
      <c r="J15" s="12" t="s">
        <v>778</v>
      </c>
      <c r="K15" s="11"/>
      <c r="L15" s="11"/>
      <c r="M15" s="11"/>
      <c r="N15" s="11"/>
      <c r="O15" s="12" t="s">
        <v>162</v>
      </c>
      <c r="P15" s="12" t="s">
        <v>172</v>
      </c>
      <c r="Q15" s="11" t="s">
        <v>779</v>
      </c>
      <c r="R15" s="12" t="s">
        <v>188</v>
      </c>
    </row>
    <row r="16" spans="1:18" ht="15" customHeight="1">
      <c r="A16" s="302">
        <f t="shared" si="0"/>
        <v>14</v>
      </c>
      <c r="B16" s="1" t="s">
        <v>780</v>
      </c>
      <c r="C16" s="11"/>
      <c r="D16" s="11"/>
      <c r="F16" s="1" t="s">
        <v>165</v>
      </c>
      <c r="G16" s="11" t="str">
        <f>menaces[[#This Row],[Scénarios de menaces ]]</f>
        <v>Attaque par Déni de service ciblant notre serveur DNS authoritaire</v>
      </c>
      <c r="H16" s="1" t="str">
        <f>menaces[[#This Row],[Sources de menaces]]</f>
        <v>Hacker</v>
      </c>
      <c r="I16" s="11" t="str">
        <f>menaces[[#This Row],[Vraisemblance]]</f>
        <v>Forte</v>
      </c>
      <c r="J16" s="12" t="s">
        <v>781</v>
      </c>
      <c r="K16" s="11"/>
      <c r="L16" s="11"/>
      <c r="M16" s="11"/>
      <c r="N16" s="11"/>
      <c r="O16" s="12" t="s">
        <v>165</v>
      </c>
      <c r="P16" s="12" t="s">
        <v>175</v>
      </c>
      <c r="Q16" s="11" t="s">
        <v>782</v>
      </c>
      <c r="R16" s="12" t="s">
        <v>191</v>
      </c>
    </row>
    <row r="17" spans="1:18" ht="15" customHeight="1">
      <c r="A17" s="302">
        <f t="shared" si="0"/>
        <v>15</v>
      </c>
      <c r="B17" s="1" t="s">
        <v>783</v>
      </c>
      <c r="C17" s="11"/>
      <c r="D17" s="11"/>
      <c r="F17" s="1" t="s">
        <v>168</v>
      </c>
      <c r="G17" s="11" t="str">
        <f>menaces[[#This Row],[Scénarios de menaces ]]</f>
        <v>Compromission de serveurs DNS</v>
      </c>
      <c r="H17" s="1" t="str">
        <f>menaces[[#This Row],[Sources de menaces]]</f>
        <v>Hacker/menace interne</v>
      </c>
      <c r="I17" s="11" t="str">
        <f>menaces[[#This Row],[Vraisemblance]]</f>
        <v>Significative</v>
      </c>
      <c r="J17" s="12" t="s">
        <v>784</v>
      </c>
      <c r="K17" s="11"/>
      <c r="L17" s="11"/>
      <c r="M17" s="11"/>
      <c r="N17" s="11"/>
      <c r="O17" s="12" t="s">
        <v>168</v>
      </c>
      <c r="P17" s="12" t="s">
        <v>178</v>
      </c>
      <c r="Q17" s="11" t="s">
        <v>785</v>
      </c>
      <c r="R17" s="12" t="s">
        <v>191</v>
      </c>
    </row>
    <row r="18" spans="1:18" ht="15" customHeight="1">
      <c r="A18" s="302">
        <f t="shared" si="0"/>
        <v>16</v>
      </c>
      <c r="B18" s="1" t="s">
        <v>786</v>
      </c>
      <c r="C18" s="11"/>
      <c r="D18" s="11"/>
      <c r="F18" s="1" t="s">
        <v>168</v>
      </c>
      <c r="G18" s="11" t="str">
        <f>menaces[[#This Row],[Scénarios de menaces ]]</f>
        <v>Altération de nos enregistrements DNS par un tiers</v>
      </c>
      <c r="H18" s="1" t="str">
        <f>menaces[[#This Row],[Sources de menaces]]</f>
        <v>Attaquant externe</v>
      </c>
      <c r="I18" s="11" t="str">
        <f>menaces[[#This Row],[Vraisemblance]]</f>
        <v>Significative</v>
      </c>
      <c r="J18" s="12" t="s">
        <v>787</v>
      </c>
      <c r="K18" s="11"/>
      <c r="L18" s="11"/>
      <c r="M18" s="11"/>
      <c r="N18" s="11"/>
      <c r="O18" s="12" t="s">
        <v>168</v>
      </c>
      <c r="P18" s="12" t="s">
        <v>172</v>
      </c>
      <c r="Q18" s="11" t="s">
        <v>788</v>
      </c>
      <c r="R18" s="12" t="s">
        <v>188</v>
      </c>
    </row>
    <row r="19" spans="1:18" ht="15" customHeight="1">
      <c r="A19" s="302">
        <f t="shared" si="0"/>
        <v>17</v>
      </c>
      <c r="B19" t="s">
        <v>789</v>
      </c>
      <c r="C19" s="11"/>
      <c r="D19" s="11"/>
      <c r="F19" t="s">
        <v>165</v>
      </c>
      <c r="G19" s="11" t="str">
        <f>menaces[[#This Row],[Scénarios de menaces ]]</f>
        <v>Transferts de zone DNS non autorisés (AXFR mal configuré)</v>
      </c>
      <c r="H19" s="1" t="str">
        <f>menaces[[#This Row],[Sources de menaces]]</f>
        <v>Attaquant externe</v>
      </c>
      <c r="I19" s="11" t="str">
        <f>menaces[[#This Row],[Vraisemblance]]</f>
        <v>Significative</v>
      </c>
      <c r="J19" t="s">
        <v>790</v>
      </c>
      <c r="K19" s="11"/>
      <c r="L19" s="11"/>
      <c r="M19" s="11"/>
      <c r="N19" s="11"/>
      <c r="O19" t="s">
        <v>165</v>
      </c>
      <c r="P19" s="12" t="s">
        <v>172</v>
      </c>
      <c r="Q19" t="s">
        <v>791</v>
      </c>
      <c r="R19" s="12" t="s">
        <v>188</v>
      </c>
    </row>
    <row r="20" spans="1:18" ht="15" customHeight="1">
      <c r="A20" s="302">
        <f t="shared" si="0"/>
        <v>18</v>
      </c>
      <c r="B20" t="s">
        <v>792</v>
      </c>
      <c r="C20" s="11"/>
      <c r="D20" s="11"/>
      <c r="F20" t="s">
        <v>168</v>
      </c>
      <c r="G20" s="11" t="str">
        <f>menaces[[#This Row],[Scénarios de menaces ]]</f>
        <v>Mauvaise gestion des clés DNSSEC (perte, le vol, expiration...)</v>
      </c>
      <c r="H20" s="1" t="str">
        <f>menaces[[#This Row],[Sources de menaces]]</f>
        <v>Mauvaise configuration/Hacker</v>
      </c>
      <c r="I20" s="11" t="str">
        <f>menaces[[#This Row],[Vraisemblance]]</f>
        <v>Significative</v>
      </c>
      <c r="J20" t="s">
        <v>793</v>
      </c>
      <c r="K20" s="11"/>
      <c r="L20" s="11"/>
      <c r="M20" s="11"/>
      <c r="N20" s="11"/>
      <c r="O20" t="s">
        <v>168</v>
      </c>
      <c r="P20" s="12" t="s">
        <v>172</v>
      </c>
      <c r="Q20" t="s">
        <v>794</v>
      </c>
      <c r="R20" s="12" t="s">
        <v>188</v>
      </c>
    </row>
    <row r="21" spans="1:18" ht="15" customHeight="1">
      <c r="A21" s="302">
        <f t="shared" si="0"/>
        <v>19</v>
      </c>
      <c r="B21" s="11" t="s">
        <v>795</v>
      </c>
      <c r="C21" s="11"/>
      <c r="D21" s="11"/>
      <c r="F21" s="11" t="s">
        <v>168</v>
      </c>
      <c r="G21" s="11" t="str">
        <f>menaces[[#This Row],[Scénarios de menaces ]]</f>
        <v>Accès non autorisé au bastion</v>
      </c>
      <c r="H21" s="1" t="str">
        <f>menaces[[#This Row],[Sources de menaces]]</f>
        <v>Malware/Hacker/menace interne/backdoor</v>
      </c>
      <c r="I21" s="11" t="str">
        <f>menaces[[#This Row],[Vraisemblance]]</f>
        <v>Forte</v>
      </c>
      <c r="J21" s="11" t="s">
        <v>796</v>
      </c>
      <c r="K21" s="11"/>
      <c r="L21" s="11"/>
      <c r="M21" s="11"/>
      <c r="N21" s="11"/>
      <c r="O21" s="11" t="s">
        <v>168</v>
      </c>
      <c r="P21" s="11" t="s">
        <v>172</v>
      </c>
      <c r="Q21" s="11" t="s">
        <v>797</v>
      </c>
      <c r="R21" s="11" t="s">
        <v>191</v>
      </c>
    </row>
    <row r="22" spans="1:18" ht="15" customHeight="1">
      <c r="A22" s="302">
        <f t="shared" si="0"/>
        <v>20</v>
      </c>
      <c r="B22" s="11" t="s">
        <v>798</v>
      </c>
      <c r="C22" s="11"/>
      <c r="D22" s="11"/>
      <c r="F22" s="11" t="s">
        <v>168</v>
      </c>
      <c r="G22" s="11" t="str">
        <f>menaces[[#This Row],[Scénarios de menaces ]]</f>
        <v>Compromission du bastion (et donc de toute l'infra)</v>
      </c>
      <c r="H22" s="1" t="str">
        <f>menaces[[#This Row],[Sources de menaces]]</f>
        <v>Malware/Hacker</v>
      </c>
      <c r="I22" s="11" t="str">
        <f>menaces[[#This Row],[Vraisemblance]]</f>
        <v>Significative</v>
      </c>
      <c r="J22" s="11" t="s">
        <v>799</v>
      </c>
      <c r="K22" s="11"/>
      <c r="L22" s="11"/>
      <c r="M22" s="11"/>
      <c r="N22" s="11"/>
      <c r="O22" s="11" t="s">
        <v>168</v>
      </c>
      <c r="P22" s="12" t="s">
        <v>175</v>
      </c>
      <c r="Q22" s="11" t="s">
        <v>800</v>
      </c>
      <c r="R22" s="11" t="s">
        <v>191</v>
      </c>
    </row>
    <row r="23" spans="1:18" ht="38.450000000000003" customHeight="1">
      <c r="A23" s="302">
        <f t="shared" si="0"/>
        <v>21</v>
      </c>
      <c r="B23" t="s">
        <v>801</v>
      </c>
      <c r="C23" s="11"/>
      <c r="D23" s="11"/>
      <c r="F23" s="11" t="s">
        <v>168</v>
      </c>
      <c r="G23" s="11" t="str">
        <f>menaces[[#This Row],[Scénarios de menaces ]]</f>
        <v>Manque de durcissement du Bastion</v>
      </c>
      <c r="H23" s="1" t="str">
        <f>menaces[[#This Row],[Sources de menaces]]</f>
        <v>Mauvaise configuration/Hacker</v>
      </c>
      <c r="I23" s="11" t="str">
        <f>menaces[[#This Row],[Vraisemblance]]</f>
        <v>Minime</v>
      </c>
      <c r="J23" t="s">
        <v>802</v>
      </c>
      <c r="K23" s="11"/>
      <c r="L23" s="11"/>
      <c r="M23" s="11"/>
      <c r="N23" s="11"/>
      <c r="O23" s="11" t="s">
        <v>168</v>
      </c>
      <c r="P23" s="11" t="s">
        <v>172</v>
      </c>
      <c r="Q23" t="s">
        <v>803</v>
      </c>
      <c r="R23" s="11" t="s">
        <v>191</v>
      </c>
    </row>
    <row r="24" spans="1:18" ht="15" customHeight="1">
      <c r="A24" s="302">
        <f t="shared" si="0"/>
        <v>22</v>
      </c>
      <c r="B24" s="11" t="s">
        <v>804</v>
      </c>
      <c r="C24" s="11"/>
      <c r="D24" s="11"/>
      <c r="F24" s="11" t="s">
        <v>165</v>
      </c>
      <c r="G24" s="11" t="str">
        <f>menaces[[#This Row],[Scénarios de menaces ]]</f>
        <v>Bastion en panne</v>
      </c>
      <c r="H24" s="1" t="str">
        <f>menaces[[#This Row],[Sources de menaces]]</f>
        <v>Hacker, problème technique</v>
      </c>
      <c r="I24" s="11" t="str">
        <f>menaces[[#This Row],[Vraisemblance]]</f>
        <v>Significative</v>
      </c>
      <c r="J24" s="11" t="s">
        <v>805</v>
      </c>
      <c r="K24" s="11"/>
      <c r="L24" s="11"/>
      <c r="M24" s="11"/>
      <c r="N24" s="11"/>
      <c r="O24" s="11" t="s">
        <v>162</v>
      </c>
      <c r="P24" s="11" t="s">
        <v>172</v>
      </c>
      <c r="Q24" s="11" t="s">
        <v>762</v>
      </c>
      <c r="R24" s="11" t="s">
        <v>188</v>
      </c>
    </row>
    <row r="25" spans="1:18" ht="15" customHeight="1">
      <c r="A25" s="302">
        <f t="shared" si="0"/>
        <v>23</v>
      </c>
      <c r="B25" t="s">
        <v>806</v>
      </c>
      <c r="C25" s="11"/>
      <c r="D25" s="11"/>
      <c r="F25" s="11" t="s">
        <v>168</v>
      </c>
      <c r="G25" s="11" t="str">
        <f>menaces[[#This Row],[Scénarios de menaces ]]</f>
        <v>Contournement du bastion pour l'accès au machines de prod</v>
      </c>
      <c r="H25" s="1" t="str">
        <f>menaces[[#This Row],[Sources de menaces]]</f>
        <v>Interne</v>
      </c>
      <c r="I25" s="11" t="str">
        <f>menaces[[#This Row],[Vraisemblance]]</f>
        <v>Maximale</v>
      </c>
      <c r="J25" t="s">
        <v>807</v>
      </c>
      <c r="K25" s="11"/>
      <c r="L25" s="11"/>
      <c r="M25" s="11"/>
      <c r="N25" s="11"/>
      <c r="O25" s="11" t="s">
        <v>162</v>
      </c>
      <c r="P25" s="11" t="s">
        <v>178</v>
      </c>
      <c r="Q25" t="s">
        <v>808</v>
      </c>
      <c r="R25" s="11" t="s">
        <v>191</v>
      </c>
    </row>
    <row r="26" spans="1:18" ht="15" customHeight="1">
      <c r="A26" s="302">
        <f t="shared" si="0"/>
        <v>24</v>
      </c>
      <c r="B26" t="s">
        <v>809</v>
      </c>
      <c r="C26" s="11"/>
      <c r="D26" s="11"/>
      <c r="F26" s="11" t="s">
        <v>165</v>
      </c>
      <c r="G26" s="11" t="str">
        <f>menaces[[#This Row],[Scénarios de menaces ]]</f>
        <v>Mauvaise surveillance des sessions admin ouvertes depuis le bastion</v>
      </c>
      <c r="H26" s="1" t="str">
        <f>menaces[[#This Row],[Sources de menaces]]</f>
        <v>Interne</v>
      </c>
      <c r="I26" s="11" t="str">
        <f>menaces[[#This Row],[Vraisemblance]]</f>
        <v>Significative</v>
      </c>
      <c r="J26" t="s">
        <v>810</v>
      </c>
      <c r="K26" s="11"/>
      <c r="L26" s="11"/>
      <c r="M26" s="11"/>
      <c r="N26" s="11"/>
      <c r="O26" s="11" t="s">
        <v>165</v>
      </c>
      <c r="P26" s="11" t="s">
        <v>175</v>
      </c>
      <c r="Q26" t="s">
        <v>811</v>
      </c>
      <c r="R26" s="11" t="s">
        <v>188</v>
      </c>
    </row>
    <row r="27" spans="1:18" ht="33.6" customHeight="1">
      <c r="A27" s="302">
        <f t="shared" si="0"/>
        <v>25</v>
      </c>
      <c r="B27" s="11" t="s">
        <v>812</v>
      </c>
      <c r="C27" s="11"/>
      <c r="D27" s="11"/>
      <c r="F27" s="11" t="s">
        <v>165</v>
      </c>
      <c r="G27" s="11" t="str">
        <f>menaces[[#This Row],[Scénarios de menaces ]]</f>
        <v>Comptes AD / accès non désactivés  après départ d'un employé</v>
      </c>
      <c r="H27" s="1" t="str">
        <f>menaces[[#This Row],[Sources de menaces]]</f>
        <v>Employé/erreur humaine interne</v>
      </c>
      <c r="I27" s="11" t="str">
        <f>menaces[[#This Row],[Vraisemblance]]</f>
        <v>Maximale</v>
      </c>
      <c r="J27" s="11" t="s">
        <v>813</v>
      </c>
      <c r="K27" s="11"/>
      <c r="L27" s="11"/>
      <c r="M27" s="11"/>
      <c r="N27" s="11"/>
      <c r="O27" s="11" t="s">
        <v>162</v>
      </c>
      <c r="P27" s="11" t="s">
        <v>172</v>
      </c>
      <c r="Q27" s="11" t="s">
        <v>814</v>
      </c>
      <c r="R27" s="11" t="s">
        <v>191</v>
      </c>
    </row>
    <row r="28" spans="1:18" ht="15" customHeight="1">
      <c r="A28" s="302">
        <f t="shared" si="0"/>
        <v>26</v>
      </c>
      <c r="B28" s="11" t="s">
        <v>815</v>
      </c>
      <c r="C28" s="11"/>
      <c r="D28" s="11"/>
      <c r="F28" s="11" t="s">
        <v>168</v>
      </c>
      <c r="G28" s="11" t="str">
        <f>menaces[[#This Row],[Scénarios de menaces ]]</f>
        <v>Panne / indisponibilité des DCs</v>
      </c>
      <c r="H28" s="1" t="str">
        <f>menaces[[#This Row],[Sources de menaces]]</f>
        <v>Malware/Hacker/Problème réseau</v>
      </c>
      <c r="I28" s="11" t="str">
        <f>menaces[[#This Row],[Vraisemblance]]</f>
        <v>Minime</v>
      </c>
      <c r="J28" s="11" t="s">
        <v>816</v>
      </c>
      <c r="K28" s="11"/>
      <c r="L28" s="11"/>
      <c r="M28" s="11"/>
      <c r="N28" s="11"/>
      <c r="O28" s="11" t="s">
        <v>168</v>
      </c>
      <c r="P28" s="11" t="s">
        <v>172</v>
      </c>
      <c r="Q28" s="11" t="s">
        <v>817</v>
      </c>
      <c r="R28" s="11" t="s">
        <v>188</v>
      </c>
    </row>
    <row r="29" spans="1:18" ht="15" customHeight="1">
      <c r="A29" s="302">
        <f t="shared" si="0"/>
        <v>27</v>
      </c>
      <c r="B29" s="11" t="s">
        <v>818</v>
      </c>
      <c r="C29" s="11"/>
      <c r="D29" s="11"/>
      <c r="F29" s="11" t="s">
        <v>168</v>
      </c>
      <c r="G29" s="11" t="str">
        <f>menaces[[#This Row],[Scénarios de menaces ]]</f>
        <v>Compromission d'un DC</v>
      </c>
      <c r="H29" s="1" t="str">
        <f>menaces[[#This Row],[Sources de menaces]]</f>
        <v>Malware/Hacker/problème physique</v>
      </c>
      <c r="I29" s="11" t="str">
        <f>menaces[[#This Row],[Vraisemblance]]</f>
        <v>Minime</v>
      </c>
      <c r="J29" s="11" t="s">
        <v>819</v>
      </c>
      <c r="K29" s="11"/>
      <c r="L29" s="11"/>
      <c r="M29" s="11"/>
      <c r="N29" s="11"/>
      <c r="O29" s="11" t="s">
        <v>168</v>
      </c>
      <c r="P29" s="11" t="s">
        <v>172</v>
      </c>
      <c r="Q29" s="11" t="s">
        <v>820</v>
      </c>
      <c r="R29" s="11" t="s">
        <v>191</v>
      </c>
    </row>
    <row r="30" spans="1:18" ht="15" customHeight="1">
      <c r="A30" s="302">
        <f t="shared" si="0"/>
        <v>28</v>
      </c>
      <c r="B30" s="11" t="s">
        <v>821</v>
      </c>
      <c r="C30" s="11"/>
      <c r="D30" s="11"/>
      <c r="F30" s="11" t="s">
        <v>168</v>
      </c>
      <c r="G30" s="11" t="str">
        <f>menaces[[#This Row],[Scénarios de menaces ]]</f>
        <v>Chiffrement de l'AD suite à une infection ransomware</v>
      </c>
      <c r="H30" s="1" t="str">
        <f>menaces[[#This Row],[Sources de menaces]]</f>
        <v>Malware / phishing / attaque technique</v>
      </c>
      <c r="I30" s="11" t="str">
        <f>menaces[[#This Row],[Vraisemblance]]</f>
        <v>Minime</v>
      </c>
      <c r="J30" s="11" t="s">
        <v>822</v>
      </c>
      <c r="K30" s="11"/>
      <c r="L30" s="11"/>
      <c r="M30" s="11"/>
      <c r="N30" s="11"/>
      <c r="O30" s="11" t="s">
        <v>168</v>
      </c>
      <c r="P30" s="11" t="s">
        <v>172</v>
      </c>
      <c r="Q30" s="11" t="s">
        <v>823</v>
      </c>
      <c r="R30" s="11" t="s">
        <v>194</v>
      </c>
    </row>
    <row r="31" spans="1:18" ht="27" customHeight="1">
      <c r="A31" s="302">
        <f t="shared" si="0"/>
        <v>29</v>
      </c>
      <c r="B31" s="11" t="s">
        <v>824</v>
      </c>
      <c r="C31" s="11"/>
      <c r="D31" s="11"/>
      <c r="F31" s="11" t="s">
        <v>165</v>
      </c>
      <c r="G31" s="320" t="str">
        <f>menaces[[#This Row],[Scénarios de menaces ]]</f>
        <v>Partage excéssif / réutilisation des mots dee passe Admin</v>
      </c>
      <c r="H31" s="1" t="str">
        <f>menaces[[#This Row],[Sources de menaces]]</f>
        <v>Employé/erreur humaine interne</v>
      </c>
      <c r="I31" s="11" t="str">
        <f>menaces[[#This Row],[Vraisemblance]]</f>
        <v>Maximale</v>
      </c>
      <c r="J31" s="11" t="s">
        <v>825</v>
      </c>
      <c r="K31" s="11"/>
      <c r="L31" s="11"/>
      <c r="M31" s="11"/>
      <c r="N31" s="11"/>
      <c r="O31" s="11" t="s">
        <v>165</v>
      </c>
      <c r="P31" s="11" t="s">
        <v>172</v>
      </c>
      <c r="Q31" s="11" t="s">
        <v>826</v>
      </c>
      <c r="R31" s="11" t="s">
        <v>188</v>
      </c>
    </row>
    <row r="32" spans="1:18" ht="15" customHeight="1">
      <c r="A32" s="302">
        <f t="shared" si="0"/>
        <v>30</v>
      </c>
      <c r="B32" s="11" t="s">
        <v>827</v>
      </c>
      <c r="C32" s="11"/>
      <c r="D32" s="11"/>
      <c r="F32" s="11" t="s">
        <v>168</v>
      </c>
      <c r="G32" s="11" t="str">
        <f>menaces[[#This Row],[Scénarios de menaces ]]</f>
        <v>Modification/accès non autorisé à l'AD</v>
      </c>
      <c r="H32" s="1" t="str">
        <f>menaces[[#This Row],[Sources de menaces]]</f>
        <v>Malware/attaque technique/erreur humaine interne/Hacker</v>
      </c>
      <c r="I32" s="11" t="str">
        <f>menaces[[#This Row],[Vraisemblance]]</f>
        <v>Significative</v>
      </c>
      <c r="J32" s="11" t="s">
        <v>828</v>
      </c>
      <c r="K32" s="11"/>
      <c r="L32" s="11"/>
      <c r="M32" s="11"/>
      <c r="N32" s="11"/>
      <c r="O32" s="11" t="s">
        <v>168</v>
      </c>
      <c r="P32" s="11" t="s">
        <v>172</v>
      </c>
      <c r="Q32" s="11" t="s">
        <v>829</v>
      </c>
      <c r="R32" s="11" t="s">
        <v>191</v>
      </c>
    </row>
    <row r="33" spans="1:18" ht="34.9" customHeight="1">
      <c r="A33" s="302">
        <f t="shared" si="0"/>
        <v>31</v>
      </c>
      <c r="B33" t="s">
        <v>830</v>
      </c>
      <c r="C33" s="11"/>
      <c r="D33" s="11"/>
      <c r="F33" s="11" t="s">
        <v>165</v>
      </c>
      <c r="G33" s="11" t="str">
        <f>menaces[[#This Row],[Scénarios de menaces ]]</f>
        <v>Mauvaise politique de logs dans l'AD (perte de logs, évènements non journalisés...)</v>
      </c>
      <c r="H33" s="1" t="str">
        <f>menaces[[#This Row],[Sources de menaces]]</f>
        <v>Mauvaise configuration</v>
      </c>
      <c r="I33" s="11" t="str">
        <f>menaces[[#This Row],[Vraisemblance]]</f>
        <v>Significative</v>
      </c>
      <c r="J33" t="s">
        <v>831</v>
      </c>
      <c r="K33" s="11"/>
      <c r="L33" s="11"/>
      <c r="M33" s="11"/>
      <c r="N33" s="11"/>
      <c r="O33" t="s">
        <v>165</v>
      </c>
      <c r="P33" s="11" t="s">
        <v>175</v>
      </c>
      <c r="Q33" s="11" t="s">
        <v>832</v>
      </c>
      <c r="R33" s="11" t="s">
        <v>191</v>
      </c>
    </row>
    <row r="34" spans="1:18" ht="15" customHeight="1">
      <c r="A34" s="302">
        <f t="shared" si="0"/>
        <v>32</v>
      </c>
      <c r="B34" t="s">
        <v>833</v>
      </c>
      <c r="C34" s="11"/>
      <c r="D34" s="11"/>
      <c r="F34" s="11" t="s">
        <v>165</v>
      </c>
      <c r="G34" s="11" t="str">
        <f>menaces[[#This Row],[Scénarios de menaces ]]</f>
        <v>Problèmes de réplication ou erreurs de configuration de la bdd Active Directory</v>
      </c>
      <c r="H34" s="1" t="str">
        <f>menaces[[#This Row],[Sources de menaces]]</f>
        <v>Employé/erreur humaine interne / Mauvaise configuration</v>
      </c>
      <c r="I34" s="11" t="str">
        <f>menaces[[#This Row],[Vraisemblance]]</f>
        <v>Minime</v>
      </c>
      <c r="J34" t="s">
        <v>834</v>
      </c>
      <c r="K34" s="11"/>
      <c r="L34" s="11"/>
      <c r="M34" s="11"/>
      <c r="N34" s="11"/>
      <c r="O34" t="s">
        <v>165</v>
      </c>
      <c r="P34" s="11" t="s">
        <v>172</v>
      </c>
      <c r="Q34" t="s">
        <v>835</v>
      </c>
      <c r="R34" s="11" t="s">
        <v>191</v>
      </c>
    </row>
    <row r="35" spans="1:18" ht="15" customHeight="1">
      <c r="A35" s="302">
        <f t="shared" si="0"/>
        <v>33</v>
      </c>
      <c r="B35" t="s">
        <v>836</v>
      </c>
      <c r="C35" s="11"/>
      <c r="D35" s="11"/>
      <c r="F35" s="11" t="s">
        <v>168</v>
      </c>
      <c r="G35" s="11" t="str">
        <f>menaces[[#This Row],[Scénarios de menaces ]]</f>
        <v>Risques liés à la sauvegarde et à la restauration des DCs</v>
      </c>
      <c r="H35" s="1" t="str">
        <f>menaces[[#This Row],[Sources de menaces]]</f>
        <v>Employé/erreur humaine interne / Mauvaise configuration</v>
      </c>
      <c r="I35" s="11" t="str">
        <f>menaces[[#This Row],[Vraisemblance]]</f>
        <v>Maximale</v>
      </c>
      <c r="J35" t="s">
        <v>837</v>
      </c>
      <c r="K35" s="11"/>
      <c r="L35" s="11"/>
      <c r="M35" s="11"/>
      <c r="N35" s="11"/>
      <c r="O35" s="11" t="s">
        <v>168</v>
      </c>
      <c r="P35" s="11" t="s">
        <v>178</v>
      </c>
      <c r="Q35" t="s">
        <v>838</v>
      </c>
      <c r="R35" s="11" t="s">
        <v>191</v>
      </c>
    </row>
    <row r="36" spans="1:18" ht="15" customHeight="1">
      <c r="A36" s="302">
        <f t="shared" ref="A36:A67" si="1">A35+1</f>
        <v>34</v>
      </c>
      <c r="B36" s="11" t="s">
        <v>827</v>
      </c>
      <c r="C36" s="11"/>
      <c r="D36" s="11"/>
      <c r="F36" s="11" t="s">
        <v>165</v>
      </c>
      <c r="G36" s="11" t="str">
        <f>menaces[[#This Row],[Scénarios de menaces ]]</f>
        <v>Mauvaise gestion des droits / accès dans l'AD</v>
      </c>
      <c r="H36" s="1" t="str">
        <f>menaces[[#This Row],[Sources de menaces]]</f>
        <v>Employé/erreur humaine interne / Mauvaise configuration</v>
      </c>
      <c r="I36" s="11" t="str">
        <f>menaces[[#This Row],[Vraisemblance]]</f>
        <v>Forte</v>
      </c>
      <c r="J36" s="11" t="s">
        <v>839</v>
      </c>
      <c r="K36" s="11"/>
      <c r="L36" s="11"/>
      <c r="M36" s="11"/>
      <c r="N36" s="11"/>
      <c r="O36" s="11" t="s">
        <v>165</v>
      </c>
      <c r="P36" s="11" t="s">
        <v>172</v>
      </c>
      <c r="Q36" s="11" t="s">
        <v>840</v>
      </c>
      <c r="R36" s="11" t="s">
        <v>188</v>
      </c>
    </row>
    <row r="37" spans="1:18" ht="15" customHeight="1">
      <c r="A37" s="302">
        <f t="shared" si="1"/>
        <v>35</v>
      </c>
      <c r="B37" s="11" t="s">
        <v>841</v>
      </c>
      <c r="C37" s="11"/>
      <c r="D37" s="11"/>
      <c r="F37" s="11" t="s">
        <v>165</v>
      </c>
      <c r="G37" s="11" t="str">
        <f>menaces[[#This Row],[Scénarios de menaces ]]</f>
        <v>Perte d'accès au firewall (administration)</v>
      </c>
      <c r="H37" s="1" t="str">
        <f>menaces[[#This Row],[Sources de menaces]]</f>
        <v>Mauvaise configuration</v>
      </c>
      <c r="I37" s="11" t="str">
        <f>menaces[[#This Row],[Vraisemblance]]</f>
        <v>Minime</v>
      </c>
      <c r="J37" s="11" t="s">
        <v>842</v>
      </c>
      <c r="K37" s="11"/>
      <c r="L37" s="11"/>
      <c r="M37" s="11"/>
      <c r="N37" s="11"/>
      <c r="O37" s="11" t="s">
        <v>165</v>
      </c>
      <c r="P37" s="11" t="s">
        <v>172</v>
      </c>
      <c r="Q37" s="11" t="s">
        <v>843</v>
      </c>
      <c r="R37" s="11" t="s">
        <v>188</v>
      </c>
    </row>
    <row r="38" spans="1:18" ht="15" customHeight="1">
      <c r="A38" s="302">
        <f t="shared" si="1"/>
        <v>36</v>
      </c>
      <c r="B38" s="11" t="s">
        <v>844</v>
      </c>
      <c r="C38" s="11"/>
      <c r="D38" s="11"/>
      <c r="F38" s="11" t="s">
        <v>168</v>
      </c>
      <c r="G38" s="11" t="str">
        <f>menaces[[#This Row],[Scénarios de menaces ]]</f>
        <v>Firewall exposant son interface d'administration</v>
      </c>
      <c r="H38" s="1" t="str">
        <f>menaces[[#This Row],[Sources de menaces]]</f>
        <v>Mauvaise configuration/Hacker</v>
      </c>
      <c r="I38" s="11" t="str">
        <f>menaces[[#This Row],[Vraisemblance]]</f>
        <v>Significative</v>
      </c>
      <c r="J38" s="11" t="s">
        <v>845</v>
      </c>
      <c r="K38" s="11" t="s">
        <v>168</v>
      </c>
      <c r="L38" s="11" t="s">
        <v>172</v>
      </c>
      <c r="M38" s="11" t="s">
        <v>846</v>
      </c>
      <c r="N38" s="11" t="s">
        <v>191</v>
      </c>
      <c r="O38" s="11" t="s">
        <v>168</v>
      </c>
      <c r="P38" s="11" t="s">
        <v>172</v>
      </c>
      <c r="Q38" s="11" t="s">
        <v>846</v>
      </c>
      <c r="R38" s="11" t="s">
        <v>191</v>
      </c>
    </row>
    <row r="39" spans="1:18" ht="15" customHeight="1">
      <c r="A39" s="302">
        <f t="shared" si="1"/>
        <v>37</v>
      </c>
      <c r="B39" s="11" t="s">
        <v>847</v>
      </c>
      <c r="C39" s="11"/>
      <c r="D39" s="11"/>
      <c r="F39" s="11" t="s">
        <v>168</v>
      </c>
      <c r="G39" s="11" t="str">
        <f>menaces[[#This Row],[Scénarios de menaces ]]</f>
        <v>Attaque DDOS ciblant le firewall</v>
      </c>
      <c r="H39" s="1" t="str">
        <f>menaces[[#This Row],[Sources de menaces]]</f>
        <v>Hacker</v>
      </c>
      <c r="I39" s="11" t="str">
        <f>menaces[[#This Row],[Vraisemblance]]</f>
        <v>Maximale</v>
      </c>
      <c r="J39" s="11" t="s">
        <v>848</v>
      </c>
      <c r="K39" s="11"/>
      <c r="L39" s="11"/>
      <c r="M39" s="11"/>
      <c r="N39" s="11"/>
      <c r="O39" s="11" t="s">
        <v>168</v>
      </c>
      <c r="P39" s="11" t="s">
        <v>175</v>
      </c>
      <c r="Q39" s="11" t="s">
        <v>849</v>
      </c>
      <c r="R39" s="11" t="s">
        <v>191</v>
      </c>
    </row>
    <row r="40" spans="1:18" ht="15" customHeight="1">
      <c r="A40" s="302">
        <f t="shared" si="1"/>
        <v>38</v>
      </c>
      <c r="B40" s="11" t="s">
        <v>850</v>
      </c>
      <c r="C40" s="11"/>
      <c r="D40" s="11"/>
      <c r="F40" s="11" t="s">
        <v>168</v>
      </c>
      <c r="G40" s="11" t="str">
        <f>menaces[[#This Row],[Scénarios de menaces ]]</f>
        <v xml:space="preserve">Firewall en panne/ne fonctionnant pas </v>
      </c>
      <c r="H40" s="1" t="str">
        <f>menaces[[#This Row],[Sources de menaces]]</f>
        <v>Mauvaise configuration/Hacker</v>
      </c>
      <c r="I40" s="11" t="str">
        <f>menaces[[#This Row],[Vraisemblance]]</f>
        <v>Significative</v>
      </c>
      <c r="J40" s="11" t="s">
        <v>851</v>
      </c>
      <c r="K40" s="11"/>
      <c r="L40" s="11"/>
      <c r="M40" s="11"/>
      <c r="N40" s="11"/>
      <c r="O40" s="11" t="s">
        <v>168</v>
      </c>
      <c r="P40" s="11" t="s">
        <v>172</v>
      </c>
      <c r="Q40" s="11" t="s">
        <v>852</v>
      </c>
      <c r="R40" s="11" t="s">
        <v>188</v>
      </c>
    </row>
    <row r="41" spans="1:18" ht="34.9" customHeight="1">
      <c r="A41" s="302">
        <f t="shared" si="1"/>
        <v>39</v>
      </c>
      <c r="B41" s="11" t="s">
        <v>853</v>
      </c>
      <c r="C41" s="11"/>
      <c r="D41" s="11"/>
      <c r="F41" s="11" t="s">
        <v>165</v>
      </c>
      <c r="G41" s="11" t="str">
        <f>menaces[[#This Row],[Scénarios de menaces ]]</f>
        <v xml:space="preserve">Exposition involontaire des sous-réseaux sur internet </v>
      </c>
      <c r="H41" s="1" t="str">
        <f>menaces[[#This Row],[Sources de menaces]]</f>
        <v>Mauvaise configuration</v>
      </c>
      <c r="I41" s="11" t="str">
        <f>menaces[[#This Row],[Vraisemblance]]</f>
        <v>Minime</v>
      </c>
      <c r="J41" s="11" t="s">
        <v>854</v>
      </c>
      <c r="K41" s="11"/>
      <c r="L41" s="11"/>
      <c r="M41" s="11"/>
      <c r="N41" s="11"/>
      <c r="O41" s="11" t="s">
        <v>165</v>
      </c>
      <c r="P41" s="11" t="s">
        <v>172</v>
      </c>
      <c r="Q41" s="11" t="s">
        <v>855</v>
      </c>
      <c r="R41" s="11" t="s">
        <v>191</v>
      </c>
    </row>
    <row r="42" spans="1:18" ht="15" customHeight="1">
      <c r="A42" s="302">
        <f t="shared" si="1"/>
        <v>40</v>
      </c>
      <c r="B42" s="11" t="s">
        <v>856</v>
      </c>
      <c r="C42" s="11"/>
      <c r="D42" s="11"/>
      <c r="F42" s="11" t="s">
        <v>165</v>
      </c>
      <c r="G42" s="11" t="str">
        <f>menaces[[#This Row],[Scénarios de menaces ]]</f>
        <v>Création de règles firewall mal configurées / trop permissives</v>
      </c>
      <c r="H42" s="1" t="str">
        <f>menaces[[#This Row],[Sources de menaces]]</f>
        <v>Mauvaise configuration/Hacker</v>
      </c>
      <c r="I42" s="11" t="str">
        <f>menaces[[#This Row],[Vraisemblance]]</f>
        <v>Forte</v>
      </c>
      <c r="J42" s="11" t="s">
        <v>857</v>
      </c>
      <c r="K42" s="11"/>
      <c r="L42" s="11"/>
      <c r="M42" s="11"/>
      <c r="N42" s="11"/>
      <c r="O42" s="11" t="s">
        <v>165</v>
      </c>
      <c r="P42" s="11" t="s">
        <v>172</v>
      </c>
      <c r="Q42" s="11" t="s">
        <v>858</v>
      </c>
      <c r="R42" s="11" t="s">
        <v>191</v>
      </c>
    </row>
    <row r="43" spans="1:18" ht="15" customHeight="1">
      <c r="A43" s="302">
        <f t="shared" si="1"/>
        <v>41</v>
      </c>
      <c r="B43" t="s">
        <v>859</v>
      </c>
      <c r="C43" s="11"/>
      <c r="D43" s="11"/>
      <c r="F43" s="11" t="s">
        <v>165</v>
      </c>
      <c r="G43" s="11" t="str">
        <f>menaces[[#This Row],[Scénarios de menaces ]]</f>
        <v>Mauvaise segmentation des VLANs</v>
      </c>
      <c r="H43" s="1" t="str">
        <f>menaces[[#This Row],[Sources de menaces]]</f>
        <v>Employé/erreur humaine interne / Mauvaise configuration</v>
      </c>
      <c r="I43" s="11" t="str">
        <f>menaces[[#This Row],[Vraisemblance]]</f>
        <v>Minime</v>
      </c>
      <c r="J43" t="s">
        <v>860</v>
      </c>
      <c r="K43" s="11"/>
      <c r="L43" s="11"/>
      <c r="M43" s="11"/>
      <c r="N43" s="11"/>
      <c r="O43" t="s">
        <v>165</v>
      </c>
      <c r="P43" t="s">
        <v>172</v>
      </c>
      <c r="Q43" t="s">
        <v>861</v>
      </c>
      <c r="R43" s="11" t="s">
        <v>191</v>
      </c>
    </row>
    <row r="44" spans="1:18" ht="15" customHeight="1">
      <c r="A44" s="302">
        <f t="shared" si="1"/>
        <v>42</v>
      </c>
      <c r="B44" t="s">
        <v>862</v>
      </c>
      <c r="C44" s="11"/>
      <c r="D44" s="11"/>
      <c r="F44" s="11" t="s">
        <v>165</v>
      </c>
      <c r="G44" s="11" t="str">
        <f>menaces[[#This Row],[Scénarios de menaces ]]</f>
        <v xml:space="preserve">Shadow IT sur le firewall / surabondance de règles firewall </v>
      </c>
      <c r="H44" s="1" t="str">
        <f>menaces[[#This Row],[Sources de menaces]]</f>
        <v>Employé/erreur humaine interne / Mauvaise configuration</v>
      </c>
      <c r="I44" s="11" t="str">
        <f>menaces[[#This Row],[Vraisemblance]]</f>
        <v>Maximale</v>
      </c>
      <c r="J44" t="s">
        <v>863</v>
      </c>
      <c r="K44" s="11"/>
      <c r="L44" s="11"/>
      <c r="M44" s="11"/>
      <c r="N44" s="11"/>
      <c r="O44" s="11" t="s">
        <v>165</v>
      </c>
      <c r="P44" s="11" t="s">
        <v>178</v>
      </c>
      <c r="Q44" t="s">
        <v>864</v>
      </c>
      <c r="R44" s="11" t="s">
        <v>188</v>
      </c>
    </row>
    <row r="45" spans="1:18" ht="15" customHeight="1">
      <c r="A45" s="302">
        <f t="shared" si="1"/>
        <v>43</v>
      </c>
      <c r="B45" t="s">
        <v>865</v>
      </c>
      <c r="C45" s="11"/>
      <c r="D45" s="11"/>
      <c r="F45" s="11" t="s">
        <v>165</v>
      </c>
      <c r="G45" s="11" t="str">
        <f>menaces[[#This Row],[Scénarios de menaces ]]</f>
        <v>Mauvaise visibilité / mauvais logging du traffic réseau sur le firewall</v>
      </c>
      <c r="H45" s="1" t="str">
        <f>menaces[[#This Row],[Sources de menaces]]</f>
        <v>Employé/erreur humaine interne / Mauvaise configuration</v>
      </c>
      <c r="I45" s="11" t="str">
        <f>menaces[[#This Row],[Vraisemblance]]</f>
        <v>Forte</v>
      </c>
      <c r="J45" t="s">
        <v>866</v>
      </c>
      <c r="K45" s="11"/>
      <c r="L45" s="11"/>
      <c r="M45" s="11"/>
      <c r="N45" s="11"/>
      <c r="O45" t="s">
        <v>165</v>
      </c>
      <c r="P45" s="11" t="s">
        <v>172</v>
      </c>
      <c r="Q45" t="s">
        <v>867</v>
      </c>
      <c r="R45" s="11" t="s">
        <v>188</v>
      </c>
    </row>
    <row r="46" spans="1:18" ht="15" customHeight="1">
      <c r="A46" s="302">
        <f t="shared" si="1"/>
        <v>44</v>
      </c>
      <c r="B46" s="11" t="s">
        <v>868</v>
      </c>
      <c r="C46" s="11"/>
      <c r="D46" s="11"/>
      <c r="F46" s="11" t="s">
        <v>162</v>
      </c>
      <c r="G46" s="11" t="str">
        <f>menaces[[#This Row],[Scénarios de menaces ]]</f>
        <v>Défacement du site web vitrine</v>
      </c>
      <c r="H46" s="1" t="str">
        <f>menaces[[#This Row],[Sources de menaces]]</f>
        <v>Hacker</v>
      </c>
      <c r="I46" s="11" t="str">
        <f>menaces[[#This Row],[Vraisemblance]]</f>
        <v>Forte</v>
      </c>
      <c r="J46" s="11" t="s">
        <v>869</v>
      </c>
      <c r="K46" s="11"/>
      <c r="L46" s="11"/>
      <c r="M46" s="11"/>
      <c r="N46" s="11"/>
      <c r="O46" s="11" t="s">
        <v>162</v>
      </c>
      <c r="P46" s="11" t="s">
        <v>172</v>
      </c>
      <c r="Q46" s="11" t="s">
        <v>870</v>
      </c>
      <c r="R46" s="11" t="s">
        <v>191</v>
      </c>
    </row>
    <row r="47" spans="1:18" ht="15" customHeight="1">
      <c r="A47" s="302">
        <f t="shared" si="1"/>
        <v>45</v>
      </c>
      <c r="B47" s="11" t="s">
        <v>871</v>
      </c>
      <c r="C47" s="11"/>
      <c r="D47" s="11"/>
      <c r="F47" s="11" t="s">
        <v>168</v>
      </c>
      <c r="G47" s="11" t="str">
        <f>menaces[[#This Row],[Scénarios de menaces ]]</f>
        <v>Exposition de données sensibles sur le site web</v>
      </c>
      <c r="H47" s="1" t="str">
        <f>menaces[[#This Row],[Sources de menaces]]</f>
        <v>Mauvaise administration/Hacking/Scraping</v>
      </c>
      <c r="I47" s="11" t="str">
        <f>menaces[[#This Row],[Vraisemblance]]</f>
        <v>Minime</v>
      </c>
      <c r="J47" s="11" t="s">
        <v>872</v>
      </c>
      <c r="K47" s="11"/>
      <c r="L47" s="11"/>
      <c r="M47" s="11"/>
      <c r="N47" s="11"/>
      <c r="O47" s="11" t="s">
        <v>168</v>
      </c>
      <c r="P47" s="11" t="s">
        <v>172</v>
      </c>
      <c r="Q47" s="11" t="s">
        <v>873</v>
      </c>
      <c r="R47" s="11" t="s">
        <v>191</v>
      </c>
    </row>
    <row r="48" spans="1:18" ht="15" customHeight="1">
      <c r="A48" s="302">
        <f t="shared" si="1"/>
        <v>46</v>
      </c>
      <c r="B48" s="11" t="s">
        <v>874</v>
      </c>
      <c r="C48" s="11"/>
      <c r="D48" s="11"/>
      <c r="F48" s="11" t="s">
        <v>168</v>
      </c>
      <c r="G48" s="11" t="str">
        <f>menaces[[#This Row],[Scénarios de menaces ]]</f>
        <v>Injections de requêtes (XSS…)</v>
      </c>
      <c r="H48" s="1" t="str">
        <f>menaces[[#This Row],[Sources de menaces]]</f>
        <v>Acteur malveillant</v>
      </c>
      <c r="I48" s="11" t="str">
        <f>menaces[[#This Row],[Vraisemblance]]</f>
        <v>Significative</v>
      </c>
      <c r="J48" s="11" t="s">
        <v>875</v>
      </c>
      <c r="K48" s="11"/>
      <c r="L48" s="11"/>
      <c r="M48" s="11"/>
      <c r="N48" s="11"/>
      <c r="O48" s="11" t="s">
        <v>168</v>
      </c>
      <c r="P48" s="11" t="s">
        <v>172</v>
      </c>
      <c r="Q48" s="11" t="s">
        <v>876</v>
      </c>
      <c r="R48" s="11" t="s">
        <v>194</v>
      </c>
    </row>
    <row r="49" spans="1:18" ht="25.9" customHeight="1">
      <c r="A49" s="302">
        <f t="shared" si="1"/>
        <v>47</v>
      </c>
      <c r="B49" s="11" t="s">
        <v>844</v>
      </c>
      <c r="C49" s="11"/>
      <c r="D49" s="11"/>
      <c r="F49" s="11" t="s">
        <v>168</v>
      </c>
      <c r="G49" s="11" t="str">
        <f>menaces[[#This Row],[Scénarios de menaces ]]</f>
        <v>Serveur web utilisé comme rebond pour accéder à l'infrastructure en interne (RODC, bdd…)</v>
      </c>
      <c r="H49" s="1" t="str">
        <f>menaces[[#This Row],[Sources de menaces]]</f>
        <v>Hacker</v>
      </c>
      <c r="I49" s="11" t="str">
        <f>menaces[[#This Row],[Vraisemblance]]</f>
        <v>Minime</v>
      </c>
      <c r="J49" s="11" t="s">
        <v>877</v>
      </c>
      <c r="K49" s="11"/>
      <c r="L49" s="11"/>
      <c r="M49" s="11"/>
      <c r="N49" s="11"/>
      <c r="O49" s="11" t="s">
        <v>168</v>
      </c>
      <c r="P49" s="11" t="s">
        <v>172</v>
      </c>
      <c r="Q49" s="11" t="s">
        <v>878</v>
      </c>
      <c r="R49" s="11" t="s">
        <v>191</v>
      </c>
    </row>
    <row r="50" spans="1:18" ht="15" customHeight="1">
      <c r="A50" s="302">
        <f t="shared" si="1"/>
        <v>48</v>
      </c>
      <c r="B50" t="s">
        <v>879</v>
      </c>
      <c r="C50" s="11"/>
      <c r="D50" s="11"/>
      <c r="F50" s="11" t="s">
        <v>168</v>
      </c>
      <c r="G50" s="11" t="str">
        <f>menaces[[#This Row],[Scénarios de menaces ]]</f>
        <v>mauvaise isolation des services sur le serveur Web (NGINX, bdd…)</v>
      </c>
      <c r="H50" s="1" t="str">
        <f>menaces[[#This Row],[Sources de menaces]]</f>
        <v>Employé/erreur humaine interne / Mauvaise configuration</v>
      </c>
      <c r="I50" s="11" t="str">
        <f>menaces[[#This Row],[Vraisemblance]]</f>
        <v>Forte</v>
      </c>
      <c r="J50" t="s">
        <v>880</v>
      </c>
      <c r="K50" s="11"/>
      <c r="L50" s="11"/>
      <c r="M50" s="11"/>
      <c r="N50" s="11"/>
      <c r="O50" s="11" t="s">
        <v>165</v>
      </c>
      <c r="P50" s="11" t="s">
        <v>175</v>
      </c>
      <c r="Q50" t="s">
        <v>881</v>
      </c>
      <c r="R50" s="11" t="s">
        <v>191</v>
      </c>
    </row>
    <row r="51" spans="1:18" ht="15" customHeight="1">
      <c r="A51" s="302">
        <f t="shared" si="1"/>
        <v>49</v>
      </c>
      <c r="B51" t="s">
        <v>882</v>
      </c>
      <c r="C51" s="11"/>
      <c r="D51" s="11"/>
      <c r="F51" s="11" t="s">
        <v>168</v>
      </c>
      <c r="G51" s="11" t="str">
        <f>menaces[[#This Row],[Scénarios de menaces ]]</f>
        <v>mauvaise gestion des patchs / mises à jour sur le serveur Web</v>
      </c>
      <c r="H51" s="1" t="str">
        <f>menaces[[#This Row],[Sources de menaces]]</f>
        <v>Hacker</v>
      </c>
      <c r="I51" s="11" t="str">
        <f>menaces[[#This Row],[Vraisemblance]]</f>
        <v>Significative</v>
      </c>
      <c r="J51" t="s">
        <v>883</v>
      </c>
      <c r="K51" s="11"/>
      <c r="L51" s="11"/>
      <c r="M51" s="11"/>
      <c r="N51" s="11"/>
      <c r="O51" s="11" t="s">
        <v>165</v>
      </c>
      <c r="P51" s="11" t="s">
        <v>172</v>
      </c>
      <c r="Q51" t="s">
        <v>884</v>
      </c>
      <c r="R51" s="11" t="s">
        <v>188</v>
      </c>
    </row>
    <row r="52" spans="1:18" ht="15" customHeight="1">
      <c r="A52" s="302">
        <f t="shared" si="1"/>
        <v>50</v>
      </c>
      <c r="B52" t="s">
        <v>885</v>
      </c>
      <c r="C52" s="11"/>
      <c r="D52" s="11"/>
      <c r="F52" s="11" t="s">
        <v>165</v>
      </c>
      <c r="G52" s="11" t="str">
        <f>menaces[[#This Row],[Scénarios de menaces ]]</f>
        <v>Attaque par déni de service ciblant le serveur Web</v>
      </c>
      <c r="H52" s="1" t="str">
        <f>menaces[[#This Row],[Sources de menaces]]</f>
        <v>Acteur malveillant</v>
      </c>
      <c r="I52" s="11" t="str">
        <f>menaces[[#This Row],[Vraisemblance]]</f>
        <v>Maximale</v>
      </c>
      <c r="J52" t="s">
        <v>886</v>
      </c>
      <c r="K52" s="11"/>
      <c r="L52" s="11"/>
      <c r="M52" s="11"/>
      <c r="N52" s="11"/>
      <c r="O52" t="s">
        <v>168</v>
      </c>
      <c r="P52" t="s">
        <v>175</v>
      </c>
      <c r="Q52" t="s">
        <v>887</v>
      </c>
      <c r="R52" s="11" t="s">
        <v>191</v>
      </c>
    </row>
    <row r="53" spans="1:18" ht="15" customHeight="1">
      <c r="A53" s="302">
        <f t="shared" si="1"/>
        <v>51</v>
      </c>
      <c r="B53" t="s">
        <v>888</v>
      </c>
      <c r="C53" s="11"/>
      <c r="D53" s="11"/>
      <c r="F53" s="11" t="s">
        <v>168</v>
      </c>
      <c r="G53" s="11" t="str">
        <f>menaces[[#This Row],[Scénarios de menaces ]]</f>
        <v>Vol de la base de données de notre site Web</v>
      </c>
      <c r="H53" s="1" t="str">
        <f>menaces[[#This Row],[Sources de menaces]]</f>
        <v>Hacker</v>
      </c>
      <c r="I53" s="11" t="str">
        <f>menaces[[#This Row],[Vraisemblance]]</f>
        <v>Significative</v>
      </c>
      <c r="J53" t="s">
        <v>889</v>
      </c>
      <c r="K53" s="11"/>
      <c r="L53" s="11"/>
      <c r="M53" s="11"/>
      <c r="N53" s="11"/>
      <c r="O53" t="s">
        <v>168</v>
      </c>
      <c r="P53" t="s">
        <v>175</v>
      </c>
      <c r="Q53" t="s">
        <v>881</v>
      </c>
      <c r="R53" s="11" t="s">
        <v>191</v>
      </c>
    </row>
    <row r="54" spans="1:18" ht="15" customHeight="1">
      <c r="A54" s="302">
        <f t="shared" si="1"/>
        <v>52</v>
      </c>
      <c r="B54" s="11" t="s">
        <v>890</v>
      </c>
      <c r="C54" s="11"/>
      <c r="D54" s="11"/>
      <c r="F54" s="11" t="s">
        <v>168</v>
      </c>
      <c r="G54" s="11" t="str">
        <f>menaces[[#This Row],[Scénarios de menaces ]]</f>
        <v>Fraude au président par un tier malveillant</v>
      </c>
      <c r="H54" s="1" t="str">
        <f>menaces[[#This Row],[Sources de menaces]]</f>
        <v>Acteur malveillant</v>
      </c>
      <c r="I54" s="11" t="str">
        <f>menaces[[#This Row],[Vraisemblance]]</f>
        <v>Maximale</v>
      </c>
      <c r="J54" s="11" t="s">
        <v>891</v>
      </c>
      <c r="K54" s="11"/>
      <c r="L54" s="11"/>
      <c r="M54" s="11"/>
      <c r="N54" s="11"/>
      <c r="O54" s="11" t="s">
        <v>168</v>
      </c>
      <c r="P54" s="11" t="s">
        <v>175</v>
      </c>
      <c r="Q54" s="11" t="s">
        <v>892</v>
      </c>
      <c r="R54" s="11" t="s">
        <v>191</v>
      </c>
    </row>
    <row r="55" spans="1:18" ht="15" customHeight="1">
      <c r="A55" s="302">
        <f t="shared" si="1"/>
        <v>53</v>
      </c>
      <c r="B55" s="11" t="s">
        <v>893</v>
      </c>
      <c r="C55" s="11"/>
      <c r="D55" s="11"/>
      <c r="F55" s="11" t="s">
        <v>165</v>
      </c>
      <c r="G55" s="11" t="str">
        <f>menaces[[#This Row],[Scénarios de menaces ]]</f>
        <v>Phishing sur les employés</v>
      </c>
      <c r="H55" s="1" t="str">
        <f>menaces[[#This Row],[Sources de menaces]]</f>
        <v>Acteur malveillant</v>
      </c>
      <c r="I55" s="11" t="str">
        <f>menaces[[#This Row],[Vraisemblance]]</f>
        <v>Maximale</v>
      </c>
      <c r="J55" s="11" t="s">
        <v>894</v>
      </c>
      <c r="K55" s="11"/>
      <c r="L55" s="11"/>
      <c r="M55" s="11"/>
      <c r="N55" s="11"/>
      <c r="O55" s="11" t="s">
        <v>165</v>
      </c>
      <c r="P55" s="11" t="s">
        <v>175</v>
      </c>
      <c r="Q55" s="11" t="s">
        <v>895</v>
      </c>
      <c r="R55" s="11" t="s">
        <v>191</v>
      </c>
    </row>
    <row r="56" spans="1:18" ht="30.6" customHeight="1">
      <c r="A56" s="302">
        <f t="shared" si="1"/>
        <v>54</v>
      </c>
      <c r="B56" s="11" t="s">
        <v>896</v>
      </c>
      <c r="C56" s="11"/>
      <c r="D56" s="11"/>
      <c r="F56" s="11" t="s">
        <v>165</v>
      </c>
      <c r="G56" s="11" t="str">
        <f>menaces[[#This Row],[Scénarios de menaces ]]</f>
        <v>Serveurs mails en panne</v>
      </c>
      <c r="H56" s="1" t="str">
        <f>menaces[[#This Row],[Sources de menaces]]</f>
        <v>Hacker/Problème technique</v>
      </c>
      <c r="I56" s="11" t="str">
        <f>menaces[[#This Row],[Vraisemblance]]</f>
        <v>Significative</v>
      </c>
      <c r="J56" s="11" t="s">
        <v>897</v>
      </c>
      <c r="K56" s="11"/>
      <c r="L56" s="11"/>
      <c r="M56" s="11"/>
      <c r="N56" s="11"/>
      <c r="O56" s="11" t="s">
        <v>165</v>
      </c>
      <c r="P56" s="11" t="s">
        <v>172</v>
      </c>
      <c r="Q56" s="11" t="s">
        <v>898</v>
      </c>
      <c r="R56" s="11" t="s">
        <v>188</v>
      </c>
    </row>
    <row r="57" spans="1:18" ht="15" customHeight="1">
      <c r="A57" s="302">
        <f t="shared" si="1"/>
        <v>55</v>
      </c>
      <c r="B57" s="11" t="s">
        <v>899</v>
      </c>
      <c r="C57" s="11"/>
      <c r="D57" s="11"/>
      <c r="F57" s="11" t="s">
        <v>168</v>
      </c>
      <c r="G57" s="11" t="str">
        <f>menaces[[#This Row],[Scénarios de menaces ]]</f>
        <v>Vol / détournement d'adresse mail / de compte avec email</v>
      </c>
      <c r="H57" s="1" t="str">
        <f>menaces[[#This Row],[Sources de menaces]]</f>
        <v>Hacker</v>
      </c>
      <c r="I57" s="11" t="str">
        <f>menaces[[#This Row],[Vraisemblance]]</f>
        <v>Significative</v>
      </c>
      <c r="J57" s="11" t="s">
        <v>900</v>
      </c>
      <c r="K57" s="11"/>
      <c r="L57" s="11"/>
      <c r="M57" s="11"/>
      <c r="N57" s="11"/>
      <c r="O57" s="11" t="s">
        <v>168</v>
      </c>
      <c r="P57" s="11" t="s">
        <v>172</v>
      </c>
      <c r="Q57" s="11" t="s">
        <v>901</v>
      </c>
      <c r="R57" s="11" t="s">
        <v>188</v>
      </c>
    </row>
    <row r="58" spans="1:18" ht="15" customHeight="1">
      <c r="A58" s="302">
        <f t="shared" si="1"/>
        <v>56</v>
      </c>
      <c r="B58" s="11" t="s">
        <v>902</v>
      </c>
      <c r="C58" s="11"/>
      <c r="D58" s="11"/>
      <c r="F58" s="11" t="s">
        <v>168</v>
      </c>
      <c r="G58" s="11" t="str">
        <f>menaces[[#This Row],[Scénarios de menaces ]]</f>
        <v>Compromission d'un/des serveurs de mails</v>
      </c>
      <c r="H58" s="1" t="str">
        <f>menaces[[#This Row],[Sources de menaces]]</f>
        <v>Hacker/Malware</v>
      </c>
      <c r="I58" s="11" t="str">
        <f>menaces[[#This Row],[Vraisemblance]]</f>
        <v>Significative</v>
      </c>
      <c r="J58" s="11" t="s">
        <v>903</v>
      </c>
      <c r="K58" s="11"/>
      <c r="L58" s="11"/>
      <c r="M58" s="11"/>
      <c r="N58" s="11"/>
      <c r="O58" s="11" t="s">
        <v>168</v>
      </c>
      <c r="P58" s="11" t="s">
        <v>172</v>
      </c>
      <c r="Q58" s="11" t="s">
        <v>904</v>
      </c>
      <c r="R58" s="11" t="s">
        <v>191</v>
      </c>
    </row>
    <row r="59" spans="1:18" ht="15" customHeight="1">
      <c r="A59" s="302">
        <f t="shared" si="1"/>
        <v>57</v>
      </c>
      <c r="B59" t="s">
        <v>905</v>
      </c>
      <c r="C59" s="11"/>
      <c r="D59" s="11"/>
      <c r="F59" s="11" t="s">
        <v>168</v>
      </c>
      <c r="G59" s="11" t="str">
        <f>menaces[[#This Row],[Scénarios de menaces ]]</f>
        <v>Spoofing (usurpation) de notre domaine mail</v>
      </c>
      <c r="H59" s="1" t="str">
        <f>menaces[[#This Row],[Sources de menaces]]</f>
        <v>Hacker</v>
      </c>
      <c r="I59" s="11" t="str">
        <f>menaces[[#This Row],[Vraisemblance]]</f>
        <v>Maximale</v>
      </c>
      <c r="J59" t="s">
        <v>906</v>
      </c>
      <c r="K59" s="11"/>
      <c r="L59" s="11"/>
      <c r="M59" s="11"/>
      <c r="N59" s="11"/>
      <c r="O59" s="11" t="s">
        <v>168</v>
      </c>
      <c r="P59" s="11" t="s">
        <v>172</v>
      </c>
      <c r="R59" s="11" t="s">
        <v>185</v>
      </c>
    </row>
    <row r="60" spans="1:18" ht="15" customHeight="1">
      <c r="A60" s="302">
        <f t="shared" si="1"/>
        <v>58</v>
      </c>
      <c r="B60" t="s">
        <v>907</v>
      </c>
      <c r="C60" s="11"/>
      <c r="D60" s="11"/>
      <c r="F60" s="11" t="s">
        <v>165</v>
      </c>
      <c r="G60" s="11" t="str">
        <f>menaces[[#This Row],[Scénarios de menaces ]]</f>
        <v>Altération (Man-in-the-middle) de nos mails en transit (corps ou en-têtes)</v>
      </c>
      <c r="H60" s="1" t="str">
        <f>menaces[[#This Row],[Sources de menaces]]</f>
        <v>Hacker</v>
      </c>
      <c r="I60" s="11" t="str">
        <f>menaces[[#This Row],[Vraisemblance]]</f>
        <v>Significative</v>
      </c>
      <c r="J60" t="s">
        <v>908</v>
      </c>
      <c r="K60" s="11"/>
      <c r="L60" s="11"/>
      <c r="M60" s="11"/>
      <c r="N60" s="11"/>
      <c r="O60" s="11" t="s">
        <v>165</v>
      </c>
      <c r="P60" s="11" t="s">
        <v>172</v>
      </c>
      <c r="Q60" t="s">
        <v>909</v>
      </c>
      <c r="R60" s="11" t="s">
        <v>185</v>
      </c>
    </row>
    <row r="61" spans="1:18" ht="15" customHeight="1">
      <c r="A61" s="302">
        <f t="shared" si="1"/>
        <v>59</v>
      </c>
      <c r="B61" t="s">
        <v>910</v>
      </c>
      <c r="C61" s="11"/>
      <c r="D61" s="11"/>
      <c r="F61" s="11" t="s">
        <v>165</v>
      </c>
      <c r="G61" s="11" t="str">
        <f>menaces[[#This Row],[Scénarios de menaces ]]</f>
        <v>Pas de chiffrement des secrets lors de la récupération des mails (authentification)</v>
      </c>
      <c r="H61" s="1" t="str">
        <f>menaces[[#This Row],[Sources de menaces]]</f>
        <v>Employé/erreur humaine interne / Mauvaise configuration</v>
      </c>
      <c r="I61" s="11" t="str">
        <f>menaces[[#This Row],[Vraisemblance]]</f>
        <v>Minime</v>
      </c>
      <c r="J61" t="s">
        <v>911</v>
      </c>
      <c r="K61" s="11"/>
      <c r="L61" s="11"/>
      <c r="M61" s="11"/>
      <c r="N61" s="11"/>
      <c r="O61" s="11" t="s">
        <v>165</v>
      </c>
      <c r="P61" s="11" t="s">
        <v>172</v>
      </c>
      <c r="Q61" t="s">
        <v>912</v>
      </c>
      <c r="R61" s="11" t="s">
        <v>188</v>
      </c>
    </row>
    <row r="62" spans="1:18" ht="33.6" customHeight="1">
      <c r="A62" s="302">
        <f t="shared" si="1"/>
        <v>60</v>
      </c>
      <c r="B62" t="s">
        <v>913</v>
      </c>
      <c r="C62" s="11"/>
      <c r="D62" s="11"/>
      <c r="F62" s="11" t="s">
        <v>165</v>
      </c>
      <c r="G62" s="11" t="str">
        <f>menaces[[#This Row],[Scénarios de menaces ]]</f>
        <v>anti‑spam/anti‑malware mal configuré (faux positifs ou passage de messages dangereux)</v>
      </c>
      <c r="H62" s="1" t="str">
        <f>menaces[[#This Row],[Sources de menaces]]</f>
        <v>Mauvaise configuration / Hacker</v>
      </c>
      <c r="I62" s="11" t="str">
        <f>menaces[[#This Row],[Vraisemblance]]</f>
        <v>Forte</v>
      </c>
      <c r="J62" t="s">
        <v>914</v>
      </c>
      <c r="K62" s="11"/>
      <c r="L62" s="11"/>
      <c r="M62" s="11"/>
      <c r="N62" s="11"/>
      <c r="O62" s="11" t="s">
        <v>165</v>
      </c>
      <c r="P62" s="11" t="s">
        <v>175</v>
      </c>
      <c r="Q62" t="s">
        <v>915</v>
      </c>
      <c r="R62" s="11" t="s">
        <v>188</v>
      </c>
    </row>
    <row r="63" spans="1:18" ht="27" customHeight="1">
      <c r="A63" s="302">
        <f t="shared" si="1"/>
        <v>61</v>
      </c>
      <c r="B63" s="11" t="s">
        <v>916</v>
      </c>
      <c r="C63" s="11"/>
      <c r="D63" s="11"/>
      <c r="F63" s="11" t="s">
        <v>162</v>
      </c>
      <c r="G63" s="11" t="str">
        <f>menaces[[#This Row],[Scénarios de menaces ]]</f>
        <v>Pas de SSO pour lire / envoyer des mails</v>
      </c>
      <c r="H63" s="1" t="str">
        <f>menaces[[#This Row],[Sources de menaces]]</f>
        <v>Employé/erreur humaine interne / Mauvaise configuration</v>
      </c>
      <c r="I63" s="11" t="str">
        <f>menaces[[#This Row],[Vraisemblance]]</f>
        <v>Maximale</v>
      </c>
      <c r="J63" t="s">
        <v>911</v>
      </c>
      <c r="K63" s="11"/>
      <c r="L63" s="11"/>
      <c r="M63" s="11"/>
      <c r="N63" s="11"/>
      <c r="O63" s="11" t="s">
        <v>162</v>
      </c>
      <c r="P63" s="11" t="s">
        <v>172</v>
      </c>
      <c r="Q63" t="s">
        <v>912</v>
      </c>
      <c r="R63" s="11" t="s">
        <v>188</v>
      </c>
    </row>
    <row r="64" spans="1:18" ht="15" customHeight="1">
      <c r="A64" s="302">
        <f t="shared" si="1"/>
        <v>62</v>
      </c>
      <c r="B64" t="s">
        <v>917</v>
      </c>
      <c r="C64" s="11"/>
      <c r="D64" s="11"/>
      <c r="F64" s="11" t="s">
        <v>165</v>
      </c>
      <c r="G64" s="11" t="str">
        <f>menaces[[#This Row],[Scénarios de menaces ]]</f>
        <v>Pas de chiffrement des mails (au repos ou en transit, sur tous les serveurs)</v>
      </c>
      <c r="H64" s="1" t="str">
        <f>menaces[[#This Row],[Sources de menaces]]</f>
        <v>Employé/erreur humaine interne / Mauvaise configuration</v>
      </c>
      <c r="I64" s="11" t="str">
        <f>menaces[[#This Row],[Vraisemblance]]</f>
        <v>Minime</v>
      </c>
      <c r="J64" t="s">
        <v>918</v>
      </c>
      <c r="K64" s="11"/>
      <c r="L64" s="11"/>
      <c r="M64" s="11"/>
      <c r="N64" s="11"/>
      <c r="O64" s="11" t="s">
        <v>165</v>
      </c>
      <c r="P64" s="11" t="s">
        <v>172</v>
      </c>
      <c r="Q64" s="11" t="s">
        <v>919</v>
      </c>
      <c r="R64" s="11" t="s">
        <v>188</v>
      </c>
    </row>
    <row r="65" spans="1:18" ht="15">
      <c r="A65" s="302">
        <f t="shared" si="1"/>
        <v>63</v>
      </c>
      <c r="B65" t="s">
        <v>920</v>
      </c>
      <c r="C65" s="11"/>
      <c r="D65" s="11"/>
      <c r="F65" s="11" t="s">
        <v>165</v>
      </c>
      <c r="G65" s="11" t="str">
        <f>menaces[[#This Row],[Scénarios de menaces ]]</f>
        <v>Mauvais patching des clients mail (MUA)</v>
      </c>
      <c r="H65" s="1" t="str">
        <f>menaces[[#This Row],[Sources de menaces]]</f>
        <v>Mauvaise configuration</v>
      </c>
      <c r="I65" s="11" t="str">
        <f>menaces[[#This Row],[Vraisemblance]]</f>
        <v>Minime</v>
      </c>
      <c r="J65" t="s">
        <v>921</v>
      </c>
      <c r="K65" s="11"/>
      <c r="L65" s="11"/>
      <c r="M65" s="11"/>
      <c r="N65" s="11"/>
      <c r="O65" s="11" t="s">
        <v>165</v>
      </c>
      <c r="P65" s="11" t="s">
        <v>172</v>
      </c>
      <c r="Q65" t="s">
        <v>884</v>
      </c>
      <c r="R65" s="11" t="s">
        <v>188</v>
      </c>
    </row>
    <row r="66" spans="1:18" ht="15">
      <c r="A66" s="302">
        <f t="shared" si="1"/>
        <v>64</v>
      </c>
      <c r="B66" t="s">
        <v>922</v>
      </c>
      <c r="C66" s="11"/>
      <c r="D66" s="11"/>
      <c r="F66" s="11" t="s">
        <v>165</v>
      </c>
      <c r="G66" s="320" t="str">
        <f>menaces[[#This Row],[Scénarios de menaces ]]</f>
        <v>Manque de contrôle / visibilité dans le cas d'un cleint mail (MUA) sur smartphone</v>
      </c>
      <c r="H66" s="1" t="str">
        <f>menaces[[#This Row],[Sources de menaces]]</f>
        <v>Employés</v>
      </c>
      <c r="I66" s="11" t="str">
        <f>menaces[[#This Row],[Vraisemblance]]</f>
        <v>Significative</v>
      </c>
      <c r="J66" t="s">
        <v>923</v>
      </c>
      <c r="K66" s="11"/>
      <c r="L66" s="11"/>
      <c r="M66" s="11"/>
      <c r="N66" s="11"/>
      <c r="O66" s="11" t="s">
        <v>165</v>
      </c>
      <c r="P66" s="11" t="s">
        <v>172</v>
      </c>
      <c r="Q66" t="s">
        <v>924</v>
      </c>
      <c r="R66" s="11" t="s">
        <v>188</v>
      </c>
    </row>
    <row r="67" spans="1:18" ht="15">
      <c r="A67" s="302">
        <f t="shared" si="1"/>
        <v>65</v>
      </c>
      <c r="B67" t="s">
        <v>925</v>
      </c>
      <c r="C67" s="11"/>
      <c r="D67" s="11"/>
      <c r="F67" s="11" t="s">
        <v>165</v>
      </c>
      <c r="G67" s="320" t="str">
        <f>menaces[[#This Row],[Scénarios de menaces ]]</f>
        <v>Plugin / add-on client mail (MUA) vulnérable</v>
      </c>
      <c r="H67" s="1" t="str">
        <f>menaces[[#This Row],[Sources de menaces]]</f>
        <v>Employés</v>
      </c>
      <c r="I67" s="11" t="str">
        <f>menaces[[#This Row],[Vraisemblance]]</f>
        <v>Forte</v>
      </c>
      <c r="J67" t="s">
        <v>926</v>
      </c>
      <c r="K67" s="11"/>
      <c r="L67" s="11"/>
      <c r="M67" s="11"/>
      <c r="N67" s="11"/>
      <c r="O67" s="11" t="s">
        <v>165</v>
      </c>
      <c r="P67" s="11" t="s">
        <v>172</v>
      </c>
      <c r="Q67" t="s">
        <v>39</v>
      </c>
      <c r="R67" s="11" t="s">
        <v>188</v>
      </c>
    </row>
    <row r="68" spans="1:18">
      <c r="A68" s="302">
        <f t="shared" ref="A68:A131" si="2">A67+1</f>
        <v>66</v>
      </c>
      <c r="B68" s="11" t="s">
        <v>927</v>
      </c>
      <c r="C68" s="11"/>
      <c r="D68" s="11"/>
      <c r="F68" s="11" t="s">
        <v>165</v>
      </c>
      <c r="G68" s="11" t="str">
        <f>menaces[[#This Row],[Scénarios de menaces ]]</f>
        <v>Serveur de backup en panne</v>
      </c>
      <c r="H68" s="1" t="str">
        <f>menaces[[#This Row],[Sources de menaces]]</f>
        <v>Hacker/Problème technique</v>
      </c>
      <c r="I68" s="11" t="str">
        <f>menaces[[#This Row],[Vraisemblance]]</f>
        <v>Significative</v>
      </c>
      <c r="J68" s="11" t="s">
        <v>928</v>
      </c>
      <c r="K68" s="11"/>
      <c r="L68" s="11"/>
      <c r="M68" s="11"/>
      <c r="N68" s="11"/>
      <c r="O68" s="11" t="s">
        <v>165</v>
      </c>
      <c r="P68" s="11" t="s">
        <v>172</v>
      </c>
      <c r="Q68" s="11" t="s">
        <v>929</v>
      </c>
      <c r="R68" s="11" t="s">
        <v>188</v>
      </c>
    </row>
    <row r="69" spans="1:18">
      <c r="A69" s="302">
        <f t="shared" si="2"/>
        <v>67</v>
      </c>
      <c r="B69" s="11" t="s">
        <v>930</v>
      </c>
      <c r="C69" s="11"/>
      <c r="D69" s="11"/>
      <c r="F69" s="11" t="s">
        <v>168</v>
      </c>
      <c r="G69" s="11" t="str">
        <f>menaces[[#This Row],[Scénarios de menaces ]]</f>
        <v>Backups automatiques non réalisées</v>
      </c>
      <c r="H69" s="1" t="str">
        <f>menaces[[#This Row],[Sources de menaces]]</f>
        <v xml:space="preserve">Problème technique </v>
      </c>
      <c r="I69" s="11" t="str">
        <f>menaces[[#This Row],[Vraisemblance]]</f>
        <v>Forte</v>
      </c>
      <c r="J69" s="11" t="s">
        <v>931</v>
      </c>
      <c r="K69" s="11"/>
      <c r="L69" s="11"/>
      <c r="M69" s="11"/>
      <c r="N69" s="11"/>
      <c r="O69" s="11" t="s">
        <v>168</v>
      </c>
      <c r="P69" s="11" t="s">
        <v>172</v>
      </c>
      <c r="Q69" s="11" t="s">
        <v>932</v>
      </c>
      <c r="R69" s="11" t="s">
        <v>191</v>
      </c>
    </row>
    <row r="70" spans="1:18">
      <c r="A70" s="302">
        <f t="shared" si="2"/>
        <v>68</v>
      </c>
      <c r="B70" t="s">
        <v>933</v>
      </c>
      <c r="C70" s="11"/>
      <c r="D70" s="11"/>
      <c r="F70" s="11" t="s">
        <v>168</v>
      </c>
      <c r="G70" s="11" t="str">
        <f>menaces[[#This Row],[Scénarios de menaces ]]</f>
        <v>Compromission / accès illégitime au serveur de backup</v>
      </c>
      <c r="H70" s="1" t="str">
        <f>menaces[[#This Row],[Sources de menaces]]</f>
        <v>Hacker/Problème technique</v>
      </c>
      <c r="I70" s="11" t="str">
        <f>menaces[[#This Row],[Vraisemblance]]</f>
        <v>Minime</v>
      </c>
      <c r="J70" s="11" t="s">
        <v>934</v>
      </c>
      <c r="K70" s="11"/>
      <c r="L70" s="11"/>
      <c r="M70" s="11"/>
      <c r="N70" s="11"/>
      <c r="O70" s="11" t="s">
        <v>165</v>
      </c>
      <c r="P70" s="11" t="s">
        <v>172</v>
      </c>
      <c r="Q70" s="11" t="s">
        <v>935</v>
      </c>
      <c r="R70" s="11" t="s">
        <v>188</v>
      </c>
    </row>
    <row r="71" spans="1:18">
      <c r="A71" s="302">
        <f t="shared" si="2"/>
        <v>69</v>
      </c>
      <c r="B71" s="11" t="s">
        <v>936</v>
      </c>
      <c r="C71" s="11"/>
      <c r="D71" s="11"/>
      <c r="F71" s="11" t="s">
        <v>168</v>
      </c>
      <c r="G71" s="11" t="str">
        <f>menaces[[#This Row],[Scénarios de menaces ]]</f>
        <v>Backups non isolées du réseau et / ou non immuables</v>
      </c>
      <c r="H71" s="1" t="str">
        <f>menaces[[#This Row],[Sources de menaces]]</f>
        <v>Hacker</v>
      </c>
      <c r="I71" s="11" t="str">
        <f>menaces[[#This Row],[Vraisemblance]]</f>
        <v>Significative</v>
      </c>
      <c r="J71" s="11" t="s">
        <v>937</v>
      </c>
      <c r="K71" s="11"/>
      <c r="L71" s="11"/>
      <c r="M71" s="11"/>
      <c r="N71" s="11"/>
      <c r="O71" s="11" t="s">
        <v>168</v>
      </c>
      <c r="P71" s="11" t="s">
        <v>172</v>
      </c>
      <c r="Q71" s="11" t="s">
        <v>938</v>
      </c>
      <c r="R71" s="11" t="s">
        <v>191</v>
      </c>
    </row>
    <row r="72" spans="1:18" ht="15">
      <c r="A72" s="302">
        <f t="shared" si="2"/>
        <v>70</v>
      </c>
      <c r="B72" s="11" t="s">
        <v>939</v>
      </c>
      <c r="C72" s="11"/>
      <c r="D72" s="11"/>
      <c r="F72" s="11" t="s">
        <v>168</v>
      </c>
      <c r="G72" s="11" t="str">
        <f>menaces[[#This Row],[Scénarios de menaces ]]</f>
        <v>Compromission / accès illégitime au compte de service utilisé pour les backups</v>
      </c>
      <c r="H72" s="1" t="str">
        <f>menaces[[#This Row],[Sources de menaces]]</f>
        <v>Hacker/acteur malveillant</v>
      </c>
      <c r="I72" s="11" t="str">
        <f>menaces[[#This Row],[Vraisemblance]]</f>
        <v>Minime</v>
      </c>
      <c r="J72" t="s">
        <v>940</v>
      </c>
      <c r="K72" s="11"/>
      <c r="L72" s="11"/>
      <c r="M72" s="11"/>
      <c r="N72" s="11"/>
      <c r="O72" s="11" t="s">
        <v>165</v>
      </c>
      <c r="P72" s="11" t="s">
        <v>172</v>
      </c>
      <c r="Q72" t="s">
        <v>941</v>
      </c>
      <c r="R72" s="11" t="s">
        <v>188</v>
      </c>
    </row>
    <row r="73" spans="1:18" ht="15">
      <c r="A73" s="302">
        <f t="shared" si="2"/>
        <v>71</v>
      </c>
      <c r="B73" t="s">
        <v>942</v>
      </c>
      <c r="C73" s="11"/>
      <c r="D73" s="11"/>
      <c r="F73" s="11" t="s">
        <v>165</v>
      </c>
      <c r="G73" s="11" t="str">
        <f>menaces[[#This Row],[Scénarios de menaces ]]</f>
        <v>Pas de redondance du stockage des backups</v>
      </c>
      <c r="H73" s="1" t="str">
        <f>menaces[[#This Row],[Sources de menaces]]</f>
        <v>Mauvaise configuration</v>
      </c>
      <c r="I73" s="11" t="str">
        <f>menaces[[#This Row],[Vraisemblance]]</f>
        <v>Maximale</v>
      </c>
      <c r="J73" t="s">
        <v>943</v>
      </c>
      <c r="K73" s="11"/>
      <c r="L73" s="11"/>
      <c r="M73" s="11"/>
      <c r="N73" s="11"/>
      <c r="O73" s="11" t="s">
        <v>165</v>
      </c>
      <c r="P73" s="11" t="s">
        <v>172</v>
      </c>
      <c r="Q73" t="s">
        <v>944</v>
      </c>
      <c r="R73" s="11" t="s">
        <v>188</v>
      </c>
    </row>
    <row r="74" spans="1:18" ht="30.75">
      <c r="A74" s="302">
        <f t="shared" si="2"/>
        <v>72</v>
      </c>
      <c r="B74" t="s">
        <v>945</v>
      </c>
      <c r="C74" s="11"/>
      <c r="D74" s="11"/>
      <c r="F74" s="11" t="s">
        <v>165</v>
      </c>
      <c r="G74" s="11" t="str">
        <f>menaces[[#This Row],[Scénarios de menaces ]]</f>
        <v xml:space="preserve">Corruption des backups / backups incohérentes (backups de bases de données notamment) </v>
      </c>
      <c r="H74" s="1" t="str">
        <f>menaces[[#This Row],[Sources de menaces]]</f>
        <v>Erreur humaine interne / Mauvaise configuration</v>
      </c>
      <c r="I74" s="11" t="str">
        <f>menaces[[#This Row],[Vraisemblance]]</f>
        <v>Forte</v>
      </c>
      <c r="J74" t="s">
        <v>946</v>
      </c>
      <c r="K74" s="11"/>
      <c r="L74" s="11"/>
      <c r="M74" s="11"/>
      <c r="N74" s="11"/>
      <c r="O74" s="11" t="s">
        <v>165</v>
      </c>
      <c r="P74" s="11" t="s">
        <v>175</v>
      </c>
      <c r="Q74" t="s">
        <v>944</v>
      </c>
      <c r="R74" s="11" t="s">
        <v>188</v>
      </c>
    </row>
    <row r="75" spans="1:18" ht="15">
      <c r="A75" s="302">
        <f t="shared" si="2"/>
        <v>73</v>
      </c>
      <c r="B75" t="s">
        <v>947</v>
      </c>
      <c r="C75" s="11"/>
      <c r="D75" s="11"/>
      <c r="F75" s="11" t="s">
        <v>165</v>
      </c>
      <c r="G75" s="11" t="str">
        <f>menaces[[#This Row],[Scénarios de menaces ]]</f>
        <v>Manque de stockage pour les backups</v>
      </c>
      <c r="H75" s="1" t="str">
        <f>menaces[[#This Row],[Sources de menaces]]</f>
        <v>Erreur humaine interne / Mauvaise configuration</v>
      </c>
      <c r="I75" s="11" t="str">
        <f>menaces[[#This Row],[Vraisemblance]]</f>
        <v>Significative</v>
      </c>
      <c r="J75" t="s">
        <v>948</v>
      </c>
      <c r="K75" s="11"/>
      <c r="L75" s="11"/>
      <c r="M75" s="11"/>
      <c r="N75" s="11"/>
      <c r="O75" s="11" t="s">
        <v>165</v>
      </c>
      <c r="P75" s="11" t="s">
        <v>172</v>
      </c>
      <c r="Q75" t="s">
        <v>944</v>
      </c>
      <c r="R75" s="11" t="s">
        <v>188</v>
      </c>
    </row>
    <row r="76" spans="1:18">
      <c r="A76" s="302">
        <f t="shared" si="2"/>
        <v>74</v>
      </c>
      <c r="B76" s="11" t="s">
        <v>949</v>
      </c>
      <c r="C76" s="11"/>
      <c r="D76" s="11"/>
      <c r="F76" s="11" t="s">
        <v>168</v>
      </c>
      <c r="G76" s="11" t="str">
        <f>menaces[[#This Row],[Scénarios de menaces ]]</f>
        <v xml:space="preserve">CA Racine compromise </v>
      </c>
      <c r="H76" s="1" t="str">
        <f>menaces[[#This Row],[Sources de menaces]]</f>
        <v xml:space="preserve">Erreur humaine interne/hacker </v>
      </c>
      <c r="I76" s="11" t="str">
        <f>menaces[[#This Row],[Vraisemblance]]</f>
        <v>Minime</v>
      </c>
      <c r="J76" s="11" t="s">
        <v>950</v>
      </c>
      <c r="K76" s="11"/>
      <c r="L76" s="11"/>
      <c r="M76" s="11"/>
      <c r="N76" s="11"/>
      <c r="O76" s="11" t="s">
        <v>168</v>
      </c>
      <c r="P76" s="11" t="s">
        <v>172</v>
      </c>
      <c r="Q76" s="11" t="s">
        <v>951</v>
      </c>
      <c r="R76" s="11" t="s">
        <v>191</v>
      </c>
    </row>
    <row r="77" spans="1:18">
      <c r="A77" s="302">
        <f t="shared" si="2"/>
        <v>75</v>
      </c>
      <c r="B77" s="11" t="s">
        <v>952</v>
      </c>
      <c r="C77" s="11"/>
      <c r="D77" s="11"/>
      <c r="F77" s="11" t="s">
        <v>168</v>
      </c>
      <c r="G77" s="11" t="str">
        <f>menaces[[#This Row],[Scénarios de menaces ]]</f>
        <v>CA intermédiaire compromise</v>
      </c>
      <c r="H77" s="1" t="str">
        <f>menaces[[#This Row],[Sources de menaces]]</f>
        <v>Hacker/acteur malveillant</v>
      </c>
      <c r="I77" s="11" t="str">
        <f>menaces[[#This Row],[Vraisemblance]]</f>
        <v>Significative</v>
      </c>
      <c r="J77" s="11" t="s">
        <v>953</v>
      </c>
      <c r="K77" s="11"/>
      <c r="L77" s="11"/>
      <c r="M77" s="11"/>
      <c r="N77" s="11"/>
      <c r="O77" s="11" t="s">
        <v>168</v>
      </c>
      <c r="P77" s="11" t="s">
        <v>172</v>
      </c>
      <c r="Q77" s="11" t="s">
        <v>954</v>
      </c>
      <c r="R77" s="11" t="s">
        <v>191</v>
      </c>
    </row>
    <row r="78" spans="1:18">
      <c r="A78" s="302">
        <f t="shared" si="2"/>
        <v>76</v>
      </c>
      <c r="B78" s="11" t="s">
        <v>955</v>
      </c>
      <c r="C78" s="11"/>
      <c r="D78" s="11"/>
      <c r="F78" s="11" t="s">
        <v>168</v>
      </c>
      <c r="G78" s="11" t="str">
        <f>menaces[[#This Row],[Scénarios de menaces ]]</f>
        <v>Chiffrement des certificats cassé</v>
      </c>
      <c r="H78" s="1" t="str">
        <f>menaces[[#This Row],[Sources de menaces]]</f>
        <v>Hacker/acteur malveillant/Malware/Brute Force</v>
      </c>
      <c r="I78" s="11" t="str">
        <f>menaces[[#This Row],[Vraisemblance]]</f>
        <v>Minime</v>
      </c>
      <c r="J78" s="11" t="s">
        <v>956</v>
      </c>
      <c r="K78" s="11"/>
      <c r="L78" s="11"/>
      <c r="M78" s="11"/>
      <c r="N78" s="11"/>
      <c r="O78" s="11" t="s">
        <v>168</v>
      </c>
      <c r="P78" s="11" t="s">
        <v>172</v>
      </c>
      <c r="Q78" s="11" t="s">
        <v>957</v>
      </c>
      <c r="R78" s="11" t="s">
        <v>188</v>
      </c>
    </row>
    <row r="79" spans="1:18">
      <c r="A79" s="302">
        <f t="shared" si="2"/>
        <v>77</v>
      </c>
      <c r="B79" s="11" t="s">
        <v>958</v>
      </c>
      <c r="C79" s="11"/>
      <c r="D79" s="11"/>
      <c r="F79" s="11" t="s">
        <v>165</v>
      </c>
      <c r="G79" s="11" t="str">
        <f>menaces[[#This Row],[Scénarios de menaces ]]</f>
        <v>Certificat expiré et non renouvelé</v>
      </c>
      <c r="H79" s="1" t="str">
        <f>menaces[[#This Row],[Sources de menaces]]</f>
        <v>Erreur humaine interne</v>
      </c>
      <c r="I79" s="11" t="str">
        <f>menaces[[#This Row],[Vraisemblance]]</f>
        <v>Maximale</v>
      </c>
      <c r="J79" s="11" t="s">
        <v>959</v>
      </c>
      <c r="K79" s="11"/>
      <c r="L79" s="11"/>
      <c r="M79" s="11"/>
      <c r="N79" s="11"/>
      <c r="O79" s="11" t="s">
        <v>162</v>
      </c>
      <c r="P79" s="11" t="s">
        <v>172</v>
      </c>
      <c r="Q79" s="11" t="s">
        <v>960</v>
      </c>
      <c r="R79" s="11" t="s">
        <v>188</v>
      </c>
    </row>
    <row r="80" spans="1:18">
      <c r="A80" s="302">
        <f t="shared" si="2"/>
        <v>78</v>
      </c>
      <c r="B80" s="11" t="s">
        <v>961</v>
      </c>
      <c r="C80" s="11"/>
      <c r="D80" s="11"/>
      <c r="F80" s="11" t="s">
        <v>165</v>
      </c>
      <c r="G80" s="11" t="str">
        <f>menaces[[#This Row],[Scénarios de menaces ]]</f>
        <v>Serveur de publication des certificats (CA Intermédiaire) en panne</v>
      </c>
      <c r="H80" s="1" t="str">
        <f>menaces[[#This Row],[Sources de menaces]]</f>
        <v>Hacker/Problème technique</v>
      </c>
      <c r="I80" s="11" t="str">
        <f>menaces[[#This Row],[Vraisemblance]]</f>
        <v>Significative</v>
      </c>
      <c r="J80" s="11" t="s">
        <v>962</v>
      </c>
      <c r="K80" s="11"/>
      <c r="L80" s="11"/>
      <c r="M80" s="11"/>
      <c r="N80" s="11"/>
      <c r="O80" s="11" t="s">
        <v>165</v>
      </c>
      <c r="P80" s="11" t="s">
        <v>172</v>
      </c>
      <c r="Q80" s="11" t="s">
        <v>898</v>
      </c>
      <c r="R80" s="11" t="s">
        <v>188</v>
      </c>
    </row>
    <row r="81" spans="1:18" ht="15">
      <c r="A81" s="302">
        <f t="shared" si="2"/>
        <v>79</v>
      </c>
      <c r="B81" t="s">
        <v>963</v>
      </c>
      <c r="C81" s="11"/>
      <c r="D81" s="11"/>
      <c r="F81" s="11" t="s">
        <v>168</v>
      </c>
      <c r="G81" s="11" t="str">
        <f>menaces[[#This Row],[Scénarios de menaces ]]</f>
        <v>Perte ou corruption des clés racine</v>
      </c>
      <c r="H81" s="1" t="str">
        <f>menaces[[#This Row],[Sources de menaces]]</f>
        <v>Erreur humaine interne / Mauvaise configuration</v>
      </c>
      <c r="I81" s="11" t="str">
        <f>menaces[[#This Row],[Vraisemblance]]</f>
        <v>Minime</v>
      </c>
      <c r="J81" t="s">
        <v>964</v>
      </c>
      <c r="K81" s="11"/>
      <c r="L81" s="11"/>
      <c r="M81" s="11"/>
      <c r="N81" s="11"/>
      <c r="O81" s="11" t="s">
        <v>165</v>
      </c>
      <c r="P81" s="11" t="s">
        <v>172</v>
      </c>
      <c r="Q81" t="s">
        <v>965</v>
      </c>
      <c r="R81" s="11" t="s">
        <v>188</v>
      </c>
    </row>
    <row r="82" spans="1:18" ht="15">
      <c r="A82" s="302">
        <f t="shared" si="2"/>
        <v>80</v>
      </c>
      <c r="B82" t="s">
        <v>966</v>
      </c>
      <c r="C82" s="11"/>
      <c r="D82" s="11"/>
      <c r="F82" s="11" t="s">
        <v>165</v>
      </c>
      <c r="G82" s="11" t="str">
        <f>menaces[[#This Row],[Scénarios de menaces ]]</f>
        <v>Vol de la base de données des certificats</v>
      </c>
      <c r="H82" s="1" t="str">
        <f>menaces[[#This Row],[Sources de menaces]]</f>
        <v>Hacker/acteur malveillant</v>
      </c>
      <c r="I82" s="11" t="str">
        <f>menaces[[#This Row],[Vraisemblance]]</f>
        <v>Significative</v>
      </c>
      <c r="J82" t="s">
        <v>967</v>
      </c>
      <c r="K82" s="11"/>
      <c r="L82" s="11"/>
      <c r="M82" s="11"/>
      <c r="N82" s="11"/>
      <c r="O82" s="11" t="s">
        <v>165</v>
      </c>
      <c r="P82" s="11" t="s">
        <v>172</v>
      </c>
      <c r="Q82" t="s">
        <v>965</v>
      </c>
      <c r="R82" s="11" t="s">
        <v>188</v>
      </c>
    </row>
    <row r="83" spans="1:18" ht="15">
      <c r="A83" s="302">
        <f t="shared" si="2"/>
        <v>81</v>
      </c>
      <c r="B83" t="s">
        <v>968</v>
      </c>
      <c r="C83" s="11"/>
      <c r="D83" s="11"/>
      <c r="F83" s="11" t="s">
        <v>168</v>
      </c>
      <c r="G83" s="11" t="str">
        <f>menaces[[#This Row],[Scénarios de menaces ]]</f>
        <v>Génération indésirable / malveillante de certificats</v>
      </c>
      <c r="H83" s="1" t="str">
        <f>menaces[[#This Row],[Sources de menaces]]</f>
        <v>Employé / Hacker/acteur malveillant</v>
      </c>
      <c r="I83" s="11" t="str">
        <f>menaces[[#This Row],[Vraisemblance]]</f>
        <v>Forte</v>
      </c>
      <c r="J83" t="s">
        <v>969</v>
      </c>
      <c r="K83" s="11"/>
      <c r="L83" s="11"/>
      <c r="M83" s="11"/>
      <c r="N83" s="11"/>
      <c r="O83" s="11" t="s">
        <v>165</v>
      </c>
      <c r="P83" s="11" t="s">
        <v>172</v>
      </c>
      <c r="Q83" t="s">
        <v>965</v>
      </c>
      <c r="R83" s="11" t="s">
        <v>188</v>
      </c>
    </row>
    <row r="84" spans="1:18" ht="15">
      <c r="A84" s="302">
        <f t="shared" si="2"/>
        <v>82</v>
      </c>
      <c r="B84" t="s">
        <v>970</v>
      </c>
      <c r="C84" s="11"/>
      <c r="D84" s="11"/>
      <c r="F84" s="11" t="s">
        <v>165</v>
      </c>
      <c r="G84" s="11" t="str">
        <f>menaces[[#This Row],[Scénarios de menaces ]]</f>
        <v>CRL expirée ou indisponible</v>
      </c>
      <c r="H84" s="1" t="str">
        <f>menaces[[#This Row],[Sources de menaces]]</f>
        <v>Erreur humaine interne / Mauvaise configuration</v>
      </c>
      <c r="I84" s="11" t="str">
        <f>menaces[[#This Row],[Vraisemblance]]</f>
        <v>Significative</v>
      </c>
      <c r="J84" t="s">
        <v>971</v>
      </c>
      <c r="K84" s="11"/>
      <c r="L84" s="11"/>
      <c r="M84" s="11"/>
      <c r="N84" s="11"/>
      <c r="O84" s="11" t="s">
        <v>165</v>
      </c>
      <c r="P84" s="11" t="s">
        <v>172</v>
      </c>
      <c r="Q84" t="s">
        <v>972</v>
      </c>
      <c r="R84" s="11" t="s">
        <v>188</v>
      </c>
    </row>
    <row r="85" spans="1:18">
      <c r="A85" s="302">
        <f t="shared" si="2"/>
        <v>83</v>
      </c>
      <c r="B85" s="11" t="s">
        <v>973</v>
      </c>
      <c r="C85" s="11"/>
      <c r="D85" s="11"/>
      <c r="F85" s="11" t="s">
        <v>168</v>
      </c>
      <c r="G85" s="11" t="str">
        <f>menaces[[#This Row],[Scénarios de menaces ]]</f>
        <v xml:space="preserve">Serveur de gestion du parc (linux/Windows) compromis </v>
      </c>
      <c r="H85" s="1" t="str">
        <f>menaces[[#This Row],[Sources de menaces]]</f>
        <v>Hacker/Problème technique</v>
      </c>
      <c r="I85" s="11" t="str">
        <f>menaces[[#This Row],[Vraisemblance]]</f>
        <v>Significative</v>
      </c>
      <c r="J85" s="11" t="s">
        <v>974</v>
      </c>
      <c r="K85" s="11"/>
      <c r="L85" s="11"/>
      <c r="M85" s="11"/>
      <c r="N85" s="11"/>
      <c r="O85" s="11" t="s">
        <v>168</v>
      </c>
      <c r="P85" s="11" t="s">
        <v>172</v>
      </c>
      <c r="Q85" s="11" t="s">
        <v>975</v>
      </c>
      <c r="R85" s="11" t="s">
        <v>191</v>
      </c>
    </row>
    <row r="86" spans="1:18">
      <c r="A86" s="302">
        <f t="shared" si="2"/>
        <v>84</v>
      </c>
      <c r="B86" s="11" t="s">
        <v>798</v>
      </c>
      <c r="C86" s="11"/>
      <c r="D86" s="11"/>
      <c r="F86" s="11" t="s">
        <v>168</v>
      </c>
      <c r="G86" s="11" t="str">
        <f>menaces[[#This Row],[Scénarios de menaces ]]</f>
        <v>Accès non autorisé au serveur de gestion du parc (linux/Windows) par un tiers</v>
      </c>
      <c r="H86" s="1" t="str">
        <f>menaces[[#This Row],[Sources de menaces]]</f>
        <v>Backdoor/ hacker/ mauvaise configuration</v>
      </c>
      <c r="I86" s="11" t="str">
        <f>menaces[[#This Row],[Vraisemblance]]</f>
        <v>Significative</v>
      </c>
      <c r="J86" s="11" t="s">
        <v>976</v>
      </c>
      <c r="K86" s="11"/>
      <c r="L86" s="11"/>
      <c r="M86" s="11"/>
      <c r="N86" s="11"/>
      <c r="O86" s="11" t="s">
        <v>168</v>
      </c>
      <c r="P86" s="11" t="s">
        <v>172</v>
      </c>
      <c r="Q86" s="11" t="s">
        <v>977</v>
      </c>
      <c r="R86" s="11" t="s">
        <v>191</v>
      </c>
    </row>
    <row r="87" spans="1:18" ht="15">
      <c r="A87" s="302">
        <f t="shared" si="2"/>
        <v>85</v>
      </c>
      <c r="B87" s="11" t="s">
        <v>978</v>
      </c>
      <c r="C87" s="11"/>
      <c r="D87" s="11"/>
      <c r="F87" s="11" t="s">
        <v>165</v>
      </c>
      <c r="G87" s="11" t="str">
        <f>menaces[[#This Row],[Scénarios de menaces ]]</f>
        <v xml:space="preserve">Serveur de gestion du parc (linux/Windows) non accessible </v>
      </c>
      <c r="H87" s="1" t="str">
        <f>menaces[[#This Row],[Sources de menaces]]</f>
        <v>Problème technique / Hacker / Physique</v>
      </c>
      <c r="I87" s="11" t="str">
        <f>menaces[[#This Row],[Vraisemblance]]</f>
        <v>Significative</v>
      </c>
      <c r="J87" s="11" t="s">
        <v>962</v>
      </c>
      <c r="K87" s="11"/>
      <c r="L87" s="11"/>
      <c r="M87" s="11"/>
      <c r="N87" s="11"/>
      <c r="O87" s="11" t="s">
        <v>165</v>
      </c>
      <c r="P87" s="11" t="s">
        <v>172</v>
      </c>
      <c r="Q87" s="11" t="s">
        <v>979</v>
      </c>
      <c r="R87" s="11" t="s">
        <v>194</v>
      </c>
    </row>
    <row r="88" spans="1:18" ht="15">
      <c r="A88" s="302">
        <f t="shared" si="2"/>
        <v>86</v>
      </c>
      <c r="B88" t="s">
        <v>980</v>
      </c>
      <c r="C88" s="11"/>
      <c r="D88" s="11"/>
      <c r="F88" s="11" t="s">
        <v>168</v>
      </c>
      <c r="G88" s="11" t="str">
        <f>menaces[[#This Row],[Scénarios de menaces ]]</f>
        <v>Détournement des comptes de service utilisés par Ansible</v>
      </c>
      <c r="H88" s="1" t="str">
        <f>menaces[[#This Row],[Sources de menaces]]</f>
        <v>Hacker/acteur malveillant</v>
      </c>
      <c r="I88" s="11" t="str">
        <f>menaces[[#This Row],[Vraisemblance]]</f>
        <v>Minime</v>
      </c>
      <c r="J88" t="s">
        <v>981</v>
      </c>
      <c r="K88" s="11"/>
      <c r="L88" s="11"/>
      <c r="M88" s="11"/>
      <c r="N88" s="11"/>
      <c r="O88" s="11" t="s">
        <v>162</v>
      </c>
      <c r="P88" s="11" t="s">
        <v>172</v>
      </c>
      <c r="Q88" t="s">
        <v>982</v>
      </c>
      <c r="R88" s="11" t="s">
        <v>191</v>
      </c>
    </row>
    <row r="89" spans="1:18" ht="15">
      <c r="A89" s="302">
        <f t="shared" si="2"/>
        <v>87</v>
      </c>
      <c r="B89" t="s">
        <v>983</v>
      </c>
      <c r="C89" s="11"/>
      <c r="D89" s="11"/>
      <c r="F89" s="11" t="s">
        <v>162</v>
      </c>
      <c r="G89" s="11" t="str">
        <f>menaces[[#This Row],[Scénarios de menaces ]]</f>
        <v>Mauvais suivi / documentation / gestion des changements de configuration du parc</v>
      </c>
      <c r="H89" s="1" t="str">
        <f>menaces[[#This Row],[Sources de menaces]]</f>
        <v>Erreur humaine interne / Mauvaise configuration</v>
      </c>
      <c r="I89" s="11" t="str">
        <f>menaces[[#This Row],[Vraisemblance]]</f>
        <v>Forte</v>
      </c>
      <c r="J89" t="s">
        <v>984</v>
      </c>
      <c r="K89" s="11"/>
      <c r="L89" s="11"/>
      <c r="M89" s="11"/>
      <c r="N89" s="11"/>
      <c r="O89" s="11" t="s">
        <v>162</v>
      </c>
      <c r="P89" s="11" t="s">
        <v>172</v>
      </c>
      <c r="Q89" t="s">
        <v>985</v>
      </c>
      <c r="R89" s="11" t="s">
        <v>188</v>
      </c>
    </row>
    <row r="90" spans="1:18" ht="30.75">
      <c r="A90" s="302">
        <f t="shared" si="2"/>
        <v>88</v>
      </c>
      <c r="B90" t="s">
        <v>986</v>
      </c>
      <c r="C90" s="11"/>
      <c r="D90" s="11"/>
      <c r="F90" s="11" t="s">
        <v>162</v>
      </c>
      <c r="G90" s="11" t="str">
        <f>menaces[[#This Row],[Scénarios de menaces ]]</f>
        <v>conflits entre playbooks de configuration et changements manuels sur les serveurs du parc</v>
      </c>
      <c r="H90" s="1" t="str">
        <f>menaces[[#This Row],[Sources de menaces]]</f>
        <v>Erreur humaine interne / Mauvaise configuration</v>
      </c>
      <c r="I90" s="11" t="str">
        <f>menaces[[#This Row],[Vraisemblance]]</f>
        <v>Forte</v>
      </c>
      <c r="J90" t="s">
        <v>987</v>
      </c>
      <c r="K90" s="11"/>
      <c r="L90" s="11"/>
      <c r="M90" s="11"/>
      <c r="N90" s="11"/>
      <c r="O90" s="11" t="s">
        <v>162</v>
      </c>
      <c r="P90" s="11" t="s">
        <v>172</v>
      </c>
      <c r="Q90" t="s">
        <v>985</v>
      </c>
      <c r="R90" s="11" t="s">
        <v>188</v>
      </c>
    </row>
    <row r="91" spans="1:18" ht="15">
      <c r="A91" s="302">
        <f t="shared" si="2"/>
        <v>89</v>
      </c>
      <c r="B91" t="s">
        <v>988</v>
      </c>
      <c r="C91" s="11"/>
      <c r="D91" s="11"/>
      <c r="F91" s="11" t="s">
        <v>165</v>
      </c>
      <c r="G91" s="11" t="str">
        <f>menaces[[#This Row],[Scénarios de menaces ]]</f>
        <v>Vol de secrets stockés en clair dans le fichiers de configuration du parc</v>
      </c>
      <c r="H91" s="1" t="str">
        <f>menaces[[#This Row],[Sources de menaces]]</f>
        <v>Hacker/acteur malveillant</v>
      </c>
      <c r="I91" s="11" t="str">
        <f>menaces[[#This Row],[Vraisemblance]]</f>
        <v>Significative</v>
      </c>
      <c r="J91" t="s">
        <v>989</v>
      </c>
      <c r="K91" s="11"/>
      <c r="L91" s="11"/>
      <c r="M91" s="11"/>
      <c r="N91" s="11"/>
      <c r="O91" s="11" t="s">
        <v>162</v>
      </c>
      <c r="P91" s="11" t="s">
        <v>172</v>
      </c>
      <c r="R91" s="11" t="s">
        <v>185</v>
      </c>
    </row>
    <row r="92" spans="1:18" ht="28.9">
      <c r="A92" s="302">
        <f t="shared" si="2"/>
        <v>90</v>
      </c>
      <c r="B92" s="11" t="s">
        <v>990</v>
      </c>
      <c r="C92" s="11"/>
      <c r="D92" s="11"/>
      <c r="F92" s="11" t="s">
        <v>168</v>
      </c>
      <c r="G92" s="11" t="str">
        <f>menaces[[#This Row],[Scénarios de menaces ]]</f>
        <v xml:space="preserve">Serveur ERP non accessible </v>
      </c>
      <c r="H92" s="1" t="str">
        <f>menaces[[#This Row],[Sources de menaces]]</f>
        <v>Problème technique / Hacker / Physique</v>
      </c>
      <c r="I92" s="11" t="str">
        <f>menaces[[#This Row],[Vraisemblance]]</f>
        <v>Significative</v>
      </c>
      <c r="J92" s="11" t="s">
        <v>991</v>
      </c>
      <c r="K92" s="11"/>
      <c r="L92" s="11"/>
      <c r="M92" s="11"/>
      <c r="N92" s="11"/>
      <c r="O92" s="11" t="s">
        <v>168</v>
      </c>
      <c r="P92" s="11" t="s">
        <v>172</v>
      </c>
      <c r="Q92" s="11" t="s">
        <v>898</v>
      </c>
      <c r="R92" s="11" t="s">
        <v>188</v>
      </c>
    </row>
    <row r="93" spans="1:18">
      <c r="A93" s="302">
        <f t="shared" si="2"/>
        <v>91</v>
      </c>
      <c r="B93" s="11" t="s">
        <v>992</v>
      </c>
      <c r="C93" s="11"/>
      <c r="D93" s="11"/>
      <c r="F93" s="11" t="s">
        <v>165</v>
      </c>
      <c r="G93" s="11" t="str">
        <f>menaces[[#This Row],[Scénarios de menaces ]]</f>
        <v>Accès non désirable à l'ERP</v>
      </c>
      <c r="H93" s="1" t="str">
        <f>menaces[[#This Row],[Sources de menaces]]</f>
        <v>Acteur malveillant</v>
      </c>
      <c r="I93" s="11" t="str">
        <f>menaces[[#This Row],[Vraisemblance]]</f>
        <v>Minime</v>
      </c>
      <c r="J93" s="11" t="s">
        <v>993</v>
      </c>
      <c r="K93" s="11"/>
      <c r="L93" s="11"/>
      <c r="M93" s="11"/>
      <c r="N93" s="11"/>
      <c r="O93" s="11" t="s">
        <v>165</v>
      </c>
      <c r="P93" s="11" t="s">
        <v>172</v>
      </c>
      <c r="Q93" s="11" t="s">
        <v>994</v>
      </c>
      <c r="R93" s="11" t="s">
        <v>191</v>
      </c>
    </row>
    <row r="94" spans="1:18">
      <c r="A94" s="302">
        <f t="shared" si="2"/>
        <v>92</v>
      </c>
      <c r="B94" s="11" t="s">
        <v>995</v>
      </c>
      <c r="C94" s="11"/>
      <c r="D94" s="11"/>
      <c r="F94" s="11" t="s">
        <v>168</v>
      </c>
      <c r="G94" s="11" t="str">
        <f>menaces[[#This Row],[Scénarios de menaces ]]</f>
        <v>Modification frauduleuse des données financières</v>
      </c>
      <c r="H94" s="1" t="str">
        <f>menaces[[#This Row],[Sources de menaces]]</f>
        <v>Employé / hacker</v>
      </c>
      <c r="I94" s="11" t="str">
        <f>menaces[[#This Row],[Vraisemblance]]</f>
        <v>Significative</v>
      </c>
      <c r="J94" s="11" t="s">
        <v>996</v>
      </c>
      <c r="K94" s="11"/>
      <c r="L94" s="11"/>
      <c r="M94" s="11"/>
      <c r="N94" s="11"/>
      <c r="O94" s="11" t="s">
        <v>168</v>
      </c>
      <c r="P94" s="11" t="s">
        <v>172</v>
      </c>
      <c r="Q94" s="11" t="s">
        <v>997</v>
      </c>
      <c r="R94" s="11" t="s">
        <v>191</v>
      </c>
    </row>
    <row r="95" spans="1:18" ht="15">
      <c r="A95" s="302">
        <f t="shared" si="2"/>
        <v>93</v>
      </c>
      <c r="B95" t="s">
        <v>998</v>
      </c>
      <c r="C95" s="11"/>
      <c r="D95" s="11"/>
      <c r="F95" s="11" t="s">
        <v>168</v>
      </c>
      <c r="G95" s="11" t="str">
        <f>menaces[[#This Row],[Scénarios de menaces ]]</f>
        <v>Perte des données internes stockées sur l'ERP (vol, chiffrement, corruption…)</v>
      </c>
      <c r="H95" s="1" t="str">
        <f>menaces[[#This Row],[Sources de menaces]]</f>
        <v>Employé / hacker</v>
      </c>
      <c r="I95" s="11" t="str">
        <f>menaces[[#This Row],[Vraisemblance]]</f>
        <v>Significative</v>
      </c>
      <c r="J95" t="s">
        <v>999</v>
      </c>
      <c r="K95" s="11"/>
      <c r="L95" s="11"/>
      <c r="M95" s="11"/>
      <c r="N95" s="11"/>
      <c r="O95" s="11" t="s">
        <v>165</v>
      </c>
      <c r="P95" s="11" t="s">
        <v>172</v>
      </c>
      <c r="Q95" t="s">
        <v>1000</v>
      </c>
      <c r="R95" s="11" t="s">
        <v>188</v>
      </c>
    </row>
    <row r="96" spans="1:18" ht="31.9" customHeight="1">
      <c r="A96" s="302">
        <f t="shared" si="2"/>
        <v>94</v>
      </c>
      <c r="B96" t="s">
        <v>1001</v>
      </c>
      <c r="C96" s="11"/>
      <c r="D96" s="11"/>
      <c r="F96" s="11" t="s">
        <v>165</v>
      </c>
      <c r="G96" s="11" t="str">
        <f>menaces[[#This Row],[Scénarios de menaces ]]</f>
        <v>Mauvaise gestion de la base de données de l'ERP (complexification, ralentissement…)</v>
      </c>
      <c r="H96" s="1" t="str">
        <f>menaces[[#This Row],[Sources de menaces]]</f>
        <v>Employés</v>
      </c>
      <c r="I96" s="11" t="str">
        <f>menaces[[#This Row],[Vraisemblance]]</f>
        <v>Significative</v>
      </c>
      <c r="J96" t="s">
        <v>1002</v>
      </c>
      <c r="K96" s="11"/>
      <c r="L96" s="11"/>
      <c r="M96" s="11"/>
      <c r="N96" s="11"/>
      <c r="O96" s="11" t="s">
        <v>165</v>
      </c>
      <c r="P96" s="11" t="s">
        <v>172</v>
      </c>
      <c r="Q96" t="s">
        <v>1003</v>
      </c>
      <c r="R96" s="11" t="s">
        <v>188</v>
      </c>
    </row>
    <row r="97" spans="1:18" ht="15">
      <c r="A97" s="302">
        <f t="shared" si="2"/>
        <v>95</v>
      </c>
      <c r="B97" t="s">
        <v>998</v>
      </c>
      <c r="C97" s="11"/>
      <c r="D97" s="11"/>
      <c r="F97" s="11" t="s">
        <v>168</v>
      </c>
      <c r="G97" s="11" t="str">
        <f>menaces[[#This Row],[Scénarios de menaces ]]</f>
        <v>Données métier sensibles non chiffrées sur l'ERP</v>
      </c>
      <c r="H97" s="1" t="str">
        <f>menaces[[#This Row],[Sources de menaces]]</f>
        <v>Mauvaise configuration</v>
      </c>
      <c r="I97" s="11" t="str">
        <f>menaces[[#This Row],[Vraisemblance]]</f>
        <v>Significative</v>
      </c>
      <c r="J97" t="s">
        <v>1004</v>
      </c>
      <c r="K97" s="11"/>
      <c r="L97" s="11"/>
      <c r="M97" s="11"/>
      <c r="N97" s="11"/>
      <c r="O97" s="11" t="s">
        <v>165</v>
      </c>
      <c r="P97" s="11" t="s">
        <v>172</v>
      </c>
      <c r="Q97" t="s">
        <v>1005</v>
      </c>
      <c r="R97" s="11" t="s">
        <v>188</v>
      </c>
    </row>
    <row r="98" spans="1:18" ht="15">
      <c r="A98" s="302">
        <f t="shared" si="2"/>
        <v>96</v>
      </c>
      <c r="B98" t="s">
        <v>1006</v>
      </c>
      <c r="C98" s="11"/>
      <c r="D98" s="11"/>
      <c r="F98" s="11" t="s">
        <v>165</v>
      </c>
      <c r="G98" s="11" t="str">
        <f>menaces[[#This Row],[Scénarios de menaces ]]</f>
        <v>Boycott / employés n'utilisant pas l'ERP</v>
      </c>
      <c r="H98" s="1" t="str">
        <f>menaces[[#This Row],[Sources de menaces]]</f>
        <v>Employés</v>
      </c>
      <c r="I98" s="11" t="str">
        <f>menaces[[#This Row],[Vraisemblance]]</f>
        <v>Significative</v>
      </c>
      <c r="J98" t="s">
        <v>1007</v>
      </c>
      <c r="K98" s="11"/>
      <c r="L98" s="11"/>
      <c r="M98" s="11"/>
      <c r="N98" s="11"/>
      <c r="O98" s="11" t="s">
        <v>162</v>
      </c>
      <c r="P98" s="11" t="s">
        <v>172</v>
      </c>
      <c r="Q98" s="11" t="s">
        <v>1008</v>
      </c>
      <c r="R98" s="11" t="s">
        <v>188</v>
      </c>
    </row>
    <row r="99" spans="1:18">
      <c r="A99" s="302">
        <f t="shared" si="2"/>
        <v>97</v>
      </c>
      <c r="B99" s="11" t="s">
        <v>1009</v>
      </c>
      <c r="C99" s="11"/>
      <c r="D99" s="11"/>
      <c r="F99" s="11" t="s">
        <v>168</v>
      </c>
      <c r="G99" s="11" t="str">
        <f>menaces[[#This Row],[Scénarios de menaces ]]</f>
        <v>Accès non autorisé au gestionnaire de secrets (Coffre-Fort)</v>
      </c>
      <c r="H99" s="1" t="str">
        <f>menaces[[#This Row],[Sources de menaces]]</f>
        <v>Acteur malveillant/employé/Backdoor</v>
      </c>
      <c r="I99" s="11" t="str">
        <f>menaces[[#This Row],[Vraisemblance]]</f>
        <v>Minime</v>
      </c>
      <c r="J99" s="11" t="s">
        <v>1010</v>
      </c>
      <c r="K99" s="11"/>
      <c r="L99" s="11"/>
      <c r="M99" s="11"/>
      <c r="N99" s="11"/>
      <c r="O99" s="11" t="s">
        <v>168</v>
      </c>
      <c r="P99" s="11" t="s">
        <v>172</v>
      </c>
      <c r="Q99" s="11" t="s">
        <v>1011</v>
      </c>
      <c r="R99" s="11" t="s">
        <v>191</v>
      </c>
    </row>
    <row r="100" spans="1:18" ht="15">
      <c r="A100" s="302">
        <f t="shared" si="2"/>
        <v>98</v>
      </c>
      <c r="B100" t="s">
        <v>1012</v>
      </c>
      <c r="C100" s="11"/>
      <c r="D100" s="11"/>
      <c r="F100" s="11" t="s">
        <v>168</v>
      </c>
      <c r="G100" s="11" t="str">
        <f>menaces[[#This Row],[Scénarios de menaces ]]</f>
        <v>Compromission du Coffre-Fort (= compromission des secrets de toute l'infra)</v>
      </c>
      <c r="H100" s="1" t="str">
        <f>menaces[[#This Row],[Sources de menaces]]</f>
        <v>Hacker/acteur malveillant</v>
      </c>
      <c r="I100" s="11" t="str">
        <f>menaces[[#This Row],[Vraisemblance]]</f>
        <v>Minime</v>
      </c>
      <c r="J100" t="s">
        <v>1013</v>
      </c>
      <c r="K100" s="11"/>
      <c r="L100" s="11"/>
      <c r="M100" s="11"/>
      <c r="N100" s="11"/>
      <c r="O100" s="11" t="s">
        <v>165</v>
      </c>
      <c r="P100" s="11" t="s">
        <v>175</v>
      </c>
      <c r="Q100" t="s">
        <v>941</v>
      </c>
    </row>
    <row r="101" spans="1:18" ht="15">
      <c r="A101" s="302">
        <f t="shared" si="2"/>
        <v>99</v>
      </c>
      <c r="B101" t="s">
        <v>1014</v>
      </c>
      <c r="C101" s="11"/>
      <c r="D101" s="11"/>
      <c r="F101" s="11" t="s">
        <v>168</v>
      </c>
      <c r="G101" s="11" t="str">
        <f>menaces[[#This Row],[Scénarios de menaces ]]</f>
        <v>Perte des clés de chiffrement du Coffre-Fort</v>
      </c>
      <c r="H101" s="1" t="str">
        <f>menaces[[#This Row],[Sources de menaces]]</f>
        <v>Erreur humaine interne / Mauvaise configuration</v>
      </c>
      <c r="I101" s="11" t="str">
        <f>menaces[[#This Row],[Vraisemblance]]</f>
        <v>Minime</v>
      </c>
      <c r="J101" t="s">
        <v>1015</v>
      </c>
      <c r="K101" s="11"/>
      <c r="L101" s="11"/>
      <c r="M101" s="11"/>
      <c r="N101" s="11"/>
      <c r="O101" s="11" t="s">
        <v>165</v>
      </c>
      <c r="P101" s="11" t="s">
        <v>175</v>
      </c>
      <c r="Q101" t="s">
        <v>1016</v>
      </c>
    </row>
    <row r="102" spans="1:18" ht="15">
      <c r="A102" s="302">
        <f t="shared" si="2"/>
        <v>100</v>
      </c>
      <c r="B102" t="s">
        <v>1017</v>
      </c>
      <c r="C102" s="11"/>
      <c r="D102" s="11"/>
      <c r="F102" s="11" t="s">
        <v>165</v>
      </c>
      <c r="G102" s="11" t="str">
        <f>menaces[[#This Row],[Scénarios de menaces ]]</f>
        <v>Accès / gestion des droits trop permissive sur le Coffre-Fort</v>
      </c>
      <c r="H102" s="1" t="str">
        <f>menaces[[#This Row],[Sources de menaces]]</f>
        <v>Mauvaise configuration</v>
      </c>
      <c r="I102" s="11" t="str">
        <f>menaces[[#This Row],[Vraisemblance]]</f>
        <v>Forte</v>
      </c>
      <c r="J102" t="s">
        <v>1018</v>
      </c>
      <c r="K102" s="11"/>
      <c r="L102" s="11"/>
      <c r="M102" s="11"/>
      <c r="N102" s="11"/>
      <c r="O102" s="11" t="s">
        <v>165</v>
      </c>
      <c r="P102" s="11" t="s">
        <v>175</v>
      </c>
      <c r="Q102" t="s">
        <v>941</v>
      </c>
    </row>
    <row r="103" spans="1:18" ht="15">
      <c r="A103" s="302">
        <f t="shared" si="2"/>
        <v>101</v>
      </c>
      <c r="B103" t="s">
        <v>1019</v>
      </c>
      <c r="C103" s="11"/>
      <c r="D103" s="11"/>
      <c r="F103" s="11" t="s">
        <v>165</v>
      </c>
      <c r="G103" s="11" t="str">
        <f>menaces[[#This Row],[Scénarios de menaces ]]</f>
        <v>Mots de passe trop faibles / non renouvelés</v>
      </c>
      <c r="H103" s="1" t="str">
        <f>menaces[[#This Row],[Sources de menaces]]</f>
        <v>Mauvaise configuration</v>
      </c>
      <c r="I103" s="11" t="str">
        <f>menaces[[#This Row],[Vraisemblance]]</f>
        <v>Maximale</v>
      </c>
      <c r="J103" t="s">
        <v>1020</v>
      </c>
      <c r="K103" s="11"/>
      <c r="L103" s="11"/>
      <c r="M103" s="11"/>
      <c r="N103" s="11"/>
      <c r="O103" s="11" t="s">
        <v>165</v>
      </c>
      <c r="P103" s="11" t="s">
        <v>175</v>
      </c>
      <c r="Q103" s="11" t="s">
        <v>1021</v>
      </c>
      <c r="R103" s="11" t="s">
        <v>185</v>
      </c>
    </row>
    <row r="104" spans="1:18" ht="15">
      <c r="A104" s="302">
        <f t="shared" si="2"/>
        <v>102</v>
      </c>
      <c r="B104" t="s">
        <v>1022</v>
      </c>
      <c r="C104" s="11"/>
      <c r="D104" s="11"/>
      <c r="F104" s="11" t="s">
        <v>165</v>
      </c>
      <c r="G104" s="11" t="str">
        <f>menaces[[#This Row],[Scénarios de menaces ]]</f>
        <v>Boycott (ou évitement) du Coffre-Fort par les employés</v>
      </c>
      <c r="H104" s="1" t="str">
        <f>menaces[[#This Row],[Sources de menaces]]</f>
        <v>Employés</v>
      </c>
      <c r="I104" s="11" t="str">
        <f>menaces[[#This Row],[Vraisemblance]]</f>
        <v>Significative</v>
      </c>
      <c r="J104" t="s">
        <v>1023</v>
      </c>
      <c r="K104" s="11"/>
      <c r="L104" s="11"/>
      <c r="M104" s="11"/>
      <c r="N104" s="11"/>
      <c r="O104" s="11" t="s">
        <v>165</v>
      </c>
      <c r="P104" s="11" t="s">
        <v>175</v>
      </c>
      <c r="Q104" s="11" t="s">
        <v>1021</v>
      </c>
      <c r="R104" s="11" t="s">
        <v>185</v>
      </c>
    </row>
    <row r="105" spans="1:18" ht="15">
      <c r="A105" s="302">
        <f t="shared" si="2"/>
        <v>103</v>
      </c>
      <c r="B105" t="s">
        <v>1024</v>
      </c>
      <c r="C105" s="11"/>
      <c r="D105" s="11"/>
      <c r="F105" s="11" t="s">
        <v>165</v>
      </c>
      <c r="G105" s="11" t="str">
        <f>menaces[[#This Row],[Scénarios de menaces ]]</f>
        <v>Mots de passes stockés en clair hors du Coffre fort</v>
      </c>
      <c r="H105" s="1" t="str">
        <f>menaces[[#This Row],[Sources de menaces]]</f>
        <v>Employés</v>
      </c>
      <c r="I105" s="11" t="str">
        <f>menaces[[#This Row],[Vraisemblance]]</f>
        <v>Forte</v>
      </c>
      <c r="J105" t="s">
        <v>1025</v>
      </c>
      <c r="K105" s="11"/>
      <c r="L105" s="11"/>
      <c r="M105" s="11"/>
      <c r="N105" s="11"/>
      <c r="O105" s="11" t="s">
        <v>165</v>
      </c>
      <c r="P105" s="11" t="s">
        <v>175</v>
      </c>
      <c r="Q105" s="11" t="s">
        <v>1021</v>
      </c>
      <c r="R105" s="11" t="s">
        <v>185</v>
      </c>
    </row>
    <row r="106" spans="1:18" ht="15">
      <c r="A106" s="302">
        <f t="shared" si="2"/>
        <v>104</v>
      </c>
      <c r="B106" t="s">
        <v>1026</v>
      </c>
      <c r="C106" s="11"/>
      <c r="D106" s="11"/>
      <c r="F106" s="11" t="s">
        <v>165</v>
      </c>
      <c r="G106" s="11" t="str">
        <f>menaces[[#This Row],[Scénarios de menaces ]]</f>
        <v>Pas de backup du Coffre-Fort</v>
      </c>
      <c r="H106" s="1" t="str">
        <f>menaces[[#This Row],[Sources de menaces]]</f>
        <v>Mauvaise configuration</v>
      </c>
      <c r="I106" s="11" t="str">
        <f>menaces[[#This Row],[Vraisemblance]]</f>
        <v>Significative</v>
      </c>
      <c r="J106" t="s">
        <v>1027</v>
      </c>
      <c r="K106" s="11"/>
      <c r="L106" s="11"/>
      <c r="M106" s="11"/>
      <c r="N106" s="11"/>
      <c r="O106" s="11" t="s">
        <v>165</v>
      </c>
      <c r="P106" s="11" t="s">
        <v>175</v>
      </c>
      <c r="Q106" t="s">
        <v>1028</v>
      </c>
      <c r="R106" s="11" t="s">
        <v>188</v>
      </c>
    </row>
    <row r="107" spans="1:18" ht="15">
      <c r="A107" s="302">
        <f t="shared" si="2"/>
        <v>105</v>
      </c>
      <c r="B107" t="s">
        <v>1029</v>
      </c>
      <c r="C107" s="11"/>
      <c r="D107" s="11"/>
      <c r="F107" s="11" t="s">
        <v>168</v>
      </c>
      <c r="G107" s="11" t="str">
        <f>menaces[[#This Row],[Scénarios de menaces ]]</f>
        <v>Echec de restauration d'une backup du coffre fort</v>
      </c>
      <c r="H107" s="1" t="str">
        <f>menaces[[#This Row],[Sources de menaces]]</f>
        <v>Mauvaise configuration</v>
      </c>
      <c r="I107" s="11" t="str">
        <f>menaces[[#This Row],[Vraisemblance]]</f>
        <v>Significative</v>
      </c>
      <c r="J107" t="s">
        <v>1030</v>
      </c>
      <c r="K107" s="11"/>
      <c r="L107" s="11"/>
      <c r="M107" s="11"/>
      <c r="N107" s="11"/>
      <c r="O107" s="11" t="s">
        <v>165</v>
      </c>
      <c r="P107" s="11" t="s">
        <v>175</v>
      </c>
      <c r="Q107" t="s">
        <v>1028</v>
      </c>
      <c r="R107" s="11" t="s">
        <v>188</v>
      </c>
    </row>
    <row r="108" spans="1:18">
      <c r="A108" s="302">
        <f t="shared" si="2"/>
        <v>106</v>
      </c>
      <c r="B108" s="11" t="s">
        <v>1031</v>
      </c>
      <c r="C108" s="11"/>
      <c r="D108" s="11"/>
      <c r="F108" s="11" t="s">
        <v>165</v>
      </c>
      <c r="G108" s="11" t="str">
        <f>menaces[[#This Row],[Scénarios de menaces ]]</f>
        <v>Mauvaise remontée de logs</v>
      </c>
      <c r="H108" s="1" t="str">
        <f>menaces[[#This Row],[Sources de menaces]]</f>
        <v>Mauvaise configuration/acteur malveillant</v>
      </c>
      <c r="I108" s="11" t="str">
        <f>menaces[[#This Row],[Vraisemblance]]</f>
        <v>Forte</v>
      </c>
      <c r="J108" s="11" t="s">
        <v>1032</v>
      </c>
      <c r="K108" s="11"/>
      <c r="L108" s="11"/>
      <c r="M108" s="11"/>
      <c r="N108" s="11"/>
      <c r="O108" s="11" t="s">
        <v>165</v>
      </c>
      <c r="P108" s="11" t="s">
        <v>172</v>
      </c>
      <c r="Q108" s="11" t="s">
        <v>1033</v>
      </c>
      <c r="R108" s="11" t="s">
        <v>188</v>
      </c>
    </row>
    <row r="109" spans="1:18">
      <c r="A109" s="302">
        <f t="shared" si="2"/>
        <v>107</v>
      </c>
      <c r="B109" s="11" t="s">
        <v>1034</v>
      </c>
      <c r="C109" s="11"/>
      <c r="D109" s="11"/>
      <c r="F109" s="11" t="s">
        <v>165</v>
      </c>
      <c r="G109" s="11" t="str">
        <f>menaces[[#This Row],[Scénarios de menaces ]]</f>
        <v>Accès non autorisé au SIEM</v>
      </c>
      <c r="H109" s="1" t="str">
        <f>menaces[[#This Row],[Sources de menaces]]</f>
        <v>Acteur malveillant/employé/Backdoor</v>
      </c>
      <c r="I109" s="11" t="str">
        <f>menaces[[#This Row],[Vraisemblance]]</f>
        <v>Minime</v>
      </c>
      <c r="J109" s="11" t="s">
        <v>1035</v>
      </c>
      <c r="K109" s="11"/>
      <c r="L109" s="11"/>
      <c r="M109" s="11"/>
      <c r="N109" s="11"/>
      <c r="O109" s="11" t="s">
        <v>165</v>
      </c>
      <c r="P109" s="11" t="s">
        <v>172</v>
      </c>
      <c r="Q109" s="11" t="s">
        <v>1036</v>
      </c>
      <c r="R109" s="11" t="s">
        <v>191</v>
      </c>
    </row>
    <row r="110" spans="1:18">
      <c r="A110" s="302">
        <f t="shared" si="2"/>
        <v>108</v>
      </c>
      <c r="B110" s="11" t="s">
        <v>1037</v>
      </c>
      <c r="C110" s="11"/>
      <c r="D110" s="11"/>
      <c r="F110" s="11" t="s">
        <v>168</v>
      </c>
      <c r="G110" s="11" t="str">
        <f>menaces[[#This Row],[Scénarios de menaces ]]</f>
        <v>Suppression de logs</v>
      </c>
      <c r="H110" s="1" t="str">
        <f>menaces[[#This Row],[Sources de menaces]]</f>
        <v>Mauvaise configuration/acteur malveillant/erreur humaine interne</v>
      </c>
      <c r="I110" s="11" t="str">
        <f>menaces[[#This Row],[Vraisemblance]]</f>
        <v>Significative</v>
      </c>
      <c r="J110" s="11" t="s">
        <v>1038</v>
      </c>
      <c r="K110" s="11"/>
      <c r="L110" s="11"/>
      <c r="M110" s="11"/>
      <c r="N110" s="11"/>
      <c r="O110" s="11" t="s">
        <v>168</v>
      </c>
      <c r="P110" s="11" t="str">
        <f>menaces[[#This Row],[Vraisemblance]]</f>
        <v>Significative</v>
      </c>
      <c r="Q110" s="11" t="s">
        <v>1039</v>
      </c>
      <c r="R110" s="11" t="s">
        <v>191</v>
      </c>
    </row>
    <row r="111" spans="1:18">
      <c r="A111" s="302">
        <f t="shared" si="2"/>
        <v>109</v>
      </c>
      <c r="B111" s="11" t="s">
        <v>1040</v>
      </c>
      <c r="C111" s="11"/>
      <c r="D111" s="11"/>
      <c r="F111" s="11" t="s">
        <v>165</v>
      </c>
      <c r="G111" s="11" t="str">
        <f>menaces[[#This Row],[Scénarios de menaces ]]</f>
        <v>SIEM/EDR/EPP déconnectés du réseau</v>
      </c>
      <c r="H111" s="1" t="str">
        <f>menaces[[#This Row],[Sources de menaces]]</f>
        <v>Mauvaise configuration/acteur malveillant</v>
      </c>
      <c r="I111" s="11" t="str">
        <f>menaces[[#This Row],[Vraisemblance]]</f>
        <v>Significative</v>
      </c>
      <c r="J111" s="11" t="s">
        <v>1041</v>
      </c>
      <c r="K111" s="11"/>
      <c r="L111" s="11"/>
      <c r="M111" s="11"/>
      <c r="N111" s="11"/>
      <c r="O111" s="11" t="s">
        <v>165</v>
      </c>
      <c r="P111" s="11" t="s">
        <v>172</v>
      </c>
      <c r="Q111" s="11" t="s">
        <v>1042</v>
      </c>
      <c r="R111" s="11" t="s">
        <v>188</v>
      </c>
    </row>
    <row r="112" spans="1:18">
      <c r="A112" s="302">
        <f t="shared" si="2"/>
        <v>110</v>
      </c>
      <c r="B112" s="11" t="s">
        <v>1043</v>
      </c>
      <c r="C112" s="11" t="e">
        <f>_xlfn.XLOOKUP(#REF!,#REF!,#REF!)</f>
        <v>#REF!</v>
      </c>
      <c r="D112" s="11" t="e">
        <f>_xlfn.XLOOKUP(#REF!,#REF!,#REF!)</f>
        <v>#REF!</v>
      </c>
      <c r="E112" s="11" t="e">
        <f>_xlfn.XLOOKUP(#REF!,#REF!,#REF!)</f>
        <v>#REF!</v>
      </c>
      <c r="F112" s="11" t="s">
        <v>165</v>
      </c>
      <c r="G112" s="11" t="str">
        <f>menaces[[#This Row],[Scénarios de menaces ]]</f>
        <v>Règles Proxy mal définies</v>
      </c>
      <c r="H112" s="1" t="str">
        <f>menaces[[#This Row],[Sources de menaces]]</f>
        <v>Mauvaise configuration</v>
      </c>
      <c r="I112" s="11" t="str">
        <f>menaces[[#This Row],[Vraisemblance]]</f>
        <v>Significative</v>
      </c>
      <c r="J112" s="11" t="s">
        <v>1044</v>
      </c>
      <c r="K112" s="11" t="e">
        <f>_xlfn.XLOOKUP(#REF!,#REF!,#REF!, "-")</f>
        <v>#REF!</v>
      </c>
      <c r="L112" s="11" t="e">
        <f>IF(_xlfn.XLOOKUP(#REF!,#REF!,#REF!, "-") = "x", "x", "-")</f>
        <v>#REF!</v>
      </c>
      <c r="M112" s="11" t="e">
        <f>IF(_xlfn.XLOOKUP(#REF!,#REF!,#REF!, "-") = "x", "x", "-")</f>
        <v>#REF!</v>
      </c>
      <c r="N112" s="11" t="e">
        <f>IF(_xlfn.XLOOKUP(#REF!,#REF!,#REF!, "-") = "x", "x", "-")</f>
        <v>#REF!</v>
      </c>
      <c r="O112" s="11" t="s">
        <v>165</v>
      </c>
      <c r="P112" s="11" t="s">
        <v>172</v>
      </c>
      <c r="Q112" s="11" t="s">
        <v>1045</v>
      </c>
      <c r="R112" s="11" t="s">
        <v>188</v>
      </c>
    </row>
    <row r="113" spans="1:18">
      <c r="A113" s="302">
        <f t="shared" si="2"/>
        <v>111</v>
      </c>
      <c r="B113" s="11" t="s">
        <v>1046</v>
      </c>
      <c r="C113" s="11" t="e">
        <f>_xlfn.XLOOKUP(#REF!,#REF!,#REF!)</f>
        <v>#REF!</v>
      </c>
      <c r="D113" s="11" t="e">
        <f>_xlfn.XLOOKUP(#REF!,#REF!,#REF!)</f>
        <v>#REF!</v>
      </c>
      <c r="E113" s="11" t="e">
        <f>_xlfn.XLOOKUP(#REF!,#REF!,#REF!)</f>
        <v>#REF!</v>
      </c>
      <c r="F113" s="11" t="s">
        <v>165</v>
      </c>
      <c r="G113" s="11" t="str">
        <f>menaces[[#This Row],[Scénarios de menaces ]]</f>
        <v>Mauvais routage Proxy</v>
      </c>
      <c r="H113" s="1" t="str">
        <f>menaces[[#This Row],[Sources de menaces]]</f>
        <v>Mauvaise configuration/Hacker</v>
      </c>
      <c r="I113" s="11" t="str">
        <f>menaces[[#This Row],[Vraisemblance]]</f>
        <v>Significative</v>
      </c>
      <c r="J113" s="11" t="s">
        <v>1047</v>
      </c>
      <c r="K113" s="11" t="e">
        <f>_xlfn.XLOOKUP(#REF!,#REF!,#REF!, "-")</f>
        <v>#REF!</v>
      </c>
      <c r="L113" s="11" t="e">
        <f>IF(_xlfn.XLOOKUP(#REF!,#REF!,#REF!, "-") = "x", "x", "-")</f>
        <v>#REF!</v>
      </c>
      <c r="M113" s="11" t="e">
        <f>IF(_xlfn.XLOOKUP(#REF!,#REF!,#REF!, "-") = "x", "x", "-")</f>
        <v>#REF!</v>
      </c>
      <c r="N113" s="11" t="e">
        <f>IF(_xlfn.XLOOKUP(#REF!,#REF!,#REF!, "-") = "x", "x", "-")</f>
        <v>#REF!</v>
      </c>
      <c r="O113" s="11" t="s">
        <v>165</v>
      </c>
      <c r="P113" s="11" t="s">
        <v>172</v>
      </c>
      <c r="Q113" s="11" t="s">
        <v>1048</v>
      </c>
      <c r="R113" s="11" t="s">
        <v>188</v>
      </c>
    </row>
    <row r="114" spans="1:18">
      <c r="A114" s="302">
        <f t="shared" si="2"/>
        <v>112</v>
      </c>
      <c r="B114" s="11" t="s">
        <v>853</v>
      </c>
      <c r="C114" s="11" t="e">
        <f>_xlfn.XLOOKUP(#REF!,#REF!,#REF!)</f>
        <v>#REF!</v>
      </c>
      <c r="D114" s="11" t="e">
        <f>_xlfn.XLOOKUP(#REF!,#REF!,#REF!)</f>
        <v>#REF!</v>
      </c>
      <c r="E114" s="11" t="e">
        <f>_xlfn.XLOOKUP(#REF!,#REF!,#REF!)</f>
        <v>#REF!</v>
      </c>
      <c r="F114" s="11" t="s">
        <v>165</v>
      </c>
      <c r="G114" s="11" t="str">
        <f>menaces[[#This Row],[Scénarios de menaces ]]</f>
        <v>Exposition accidentelle d’une app interne (Reverse Proxy)</v>
      </c>
      <c r="H114" s="1" t="str">
        <f>menaces[[#This Row],[Sources de menaces]]</f>
        <v>Mauvaise configuration</v>
      </c>
      <c r="I114" s="11" t="str">
        <f>menaces[[#This Row],[Vraisemblance]]</f>
        <v>Minime</v>
      </c>
      <c r="J114" s="11" t="s">
        <v>1049</v>
      </c>
      <c r="K114" s="11" t="e">
        <f>_xlfn.XLOOKUP(#REF!,#REF!,#REF!, "-")</f>
        <v>#REF!</v>
      </c>
      <c r="L114" s="11" t="e">
        <f>IF(_xlfn.XLOOKUP(#REF!,#REF!,#REF!, "-") = "x", "x", "-")</f>
        <v>#REF!</v>
      </c>
      <c r="M114" s="11" t="e">
        <f>IF(_xlfn.XLOOKUP(#REF!,#REF!,#REF!, "-") = "x", "x", "-")</f>
        <v>#REF!</v>
      </c>
      <c r="N114" s="11" t="e">
        <f>IF(_xlfn.XLOOKUP(#REF!,#REF!,#REF!, "-") = "x", "x", "-")</f>
        <v>#REF!</v>
      </c>
      <c r="O114" s="11" t="s">
        <v>165</v>
      </c>
      <c r="P114" s="11" t="s">
        <v>172</v>
      </c>
      <c r="Q114" s="11" t="s">
        <v>1050</v>
      </c>
      <c r="R114" s="11" t="s">
        <v>191</v>
      </c>
    </row>
    <row r="115" spans="1:18">
      <c r="A115" s="302">
        <f t="shared" si="2"/>
        <v>113</v>
      </c>
      <c r="B115" s="11" t="s">
        <v>1051</v>
      </c>
      <c r="C115" s="11" t="e">
        <f>_xlfn.XLOOKUP(#REF!,#REF!,#REF!)</f>
        <v>#REF!</v>
      </c>
      <c r="D115" s="11" t="e">
        <f>_xlfn.XLOOKUP(#REF!,#REF!,#REF!)</f>
        <v>#REF!</v>
      </c>
      <c r="E115" s="11" t="e">
        <f>_xlfn.XLOOKUP(#REF!,#REF!,#REF!)</f>
        <v>#REF!</v>
      </c>
      <c r="F115" s="11" t="s">
        <v>165</v>
      </c>
      <c r="G115" s="11" t="str">
        <f>menaces[[#This Row],[Scénarios de menaces ]]</f>
        <v>Attaque applicative par rebond (Reverse Proxy)</v>
      </c>
      <c r="H115" s="1" t="str">
        <f>menaces[[#This Row],[Sources de menaces]]</f>
        <v>Hacker/acteur malveillant/Malware</v>
      </c>
      <c r="I115" s="11" t="str">
        <f>menaces[[#This Row],[Vraisemblance]]</f>
        <v>Minime</v>
      </c>
      <c r="J115" s="11" t="s">
        <v>1052</v>
      </c>
      <c r="K115" s="11" t="e">
        <f>_xlfn.XLOOKUP(#REF!,#REF!,#REF!, "-")</f>
        <v>#REF!</v>
      </c>
      <c r="L115" s="11" t="e">
        <f>IF(_xlfn.XLOOKUP(#REF!,#REF!,#REF!, "-") = "x", "x", "-")</f>
        <v>#REF!</v>
      </c>
      <c r="M115" s="11" t="e">
        <f>IF(_xlfn.XLOOKUP(#REF!,#REF!,#REF!, "-") = "x", "x", "-")</f>
        <v>#REF!</v>
      </c>
      <c r="N115" s="11" t="e">
        <f>IF(_xlfn.XLOOKUP(#REF!,#REF!,#REF!, "-") = "x", "x", "-")</f>
        <v>#REF!</v>
      </c>
      <c r="O115" s="11" t="s">
        <v>165</v>
      </c>
      <c r="P115" s="11" t="s">
        <v>172</v>
      </c>
      <c r="Q115" s="11" t="s">
        <v>1053</v>
      </c>
      <c r="R115" s="11" t="s">
        <v>191</v>
      </c>
    </row>
    <row r="116" spans="1:18" ht="28.9">
      <c r="A116" s="302">
        <f t="shared" si="2"/>
        <v>114</v>
      </c>
      <c r="B116" s="11" t="s">
        <v>1054</v>
      </c>
      <c r="C116" s="11" t="e">
        <f>_xlfn.XLOOKUP(#REF!,#REF!,#REF!)</f>
        <v>#REF!</v>
      </c>
      <c r="D116" s="11" t="e">
        <f>_xlfn.XLOOKUP(#REF!,#REF!,#REF!)</f>
        <v>#REF!</v>
      </c>
      <c r="E116" s="11" t="e">
        <f>_xlfn.XLOOKUP(#REF!,#REF!,#REF!)</f>
        <v>#REF!</v>
      </c>
      <c r="F116" s="11" t="s">
        <v>168</v>
      </c>
      <c r="G116" s="11" t="str">
        <f>menaces[[#This Row],[Scénarios de menaces ]]</f>
        <v>Règles Reverse Proxy mal définies</v>
      </c>
      <c r="H116" s="1" t="str">
        <f>menaces[[#This Row],[Sources de menaces]]</f>
        <v>Mauvaise configuration</v>
      </c>
      <c r="I116" s="11" t="str">
        <f>menaces[[#This Row],[Vraisemblance]]</f>
        <v>Significative</v>
      </c>
      <c r="J116" s="11" t="s">
        <v>1055</v>
      </c>
      <c r="K116" s="11" t="e">
        <f>_xlfn.XLOOKUP(#REF!,#REF!,#REF!, "-")</f>
        <v>#REF!</v>
      </c>
      <c r="L116" s="11" t="e">
        <f>IF(_xlfn.XLOOKUP(#REF!,#REF!,#REF!, "-") = "x", "x", "-")</f>
        <v>#REF!</v>
      </c>
      <c r="M116" s="11" t="e">
        <f>IF(_xlfn.XLOOKUP(#REF!,#REF!,#REF!, "-") = "x", "x", "-")</f>
        <v>#REF!</v>
      </c>
      <c r="N116" s="11" t="e">
        <f>IF(_xlfn.XLOOKUP(#REF!,#REF!,#REF!, "-") = "x", "x", "-")</f>
        <v>#REF!</v>
      </c>
      <c r="O116" s="11" t="s">
        <v>168</v>
      </c>
      <c r="P116" s="11" t="s">
        <v>172</v>
      </c>
      <c r="Q116" s="11" t="s">
        <v>1056</v>
      </c>
      <c r="R116" s="11" t="s">
        <v>191</v>
      </c>
    </row>
    <row r="117" spans="1:18" ht="28.9">
      <c r="A117" s="302">
        <f t="shared" si="2"/>
        <v>115</v>
      </c>
      <c r="B117" s="11" t="s">
        <v>1057</v>
      </c>
      <c r="C117" s="11" t="e">
        <f>_xlfn.XLOOKUP(#REF!,#REF!,#REF!)</f>
        <v>#REF!</v>
      </c>
      <c r="D117" s="11" t="e">
        <f>_xlfn.XLOOKUP(#REF!,#REF!,#REF!)</f>
        <v>#REF!</v>
      </c>
      <c r="E117" s="11" t="e">
        <f>_xlfn.XLOOKUP(#REF!,#REF!,#REF!)</f>
        <v>#REF!</v>
      </c>
      <c r="F117" s="11" t="s">
        <v>165</v>
      </c>
      <c r="G117" s="11" t="str">
        <f>menaces[[#This Row],[Scénarios de menaces ]]</f>
        <v>Mauvais routage (Reverse Proxy)</v>
      </c>
      <c r="H117" s="1" t="str">
        <f>menaces[[#This Row],[Sources de menaces]]</f>
        <v>Mauvaise configuration/Hacker</v>
      </c>
      <c r="I117" s="11" t="str">
        <f>menaces[[#This Row],[Vraisemblance]]</f>
        <v>Significative</v>
      </c>
      <c r="J117" s="11" t="s">
        <v>1047</v>
      </c>
      <c r="K117" s="11" t="e">
        <f>_xlfn.XLOOKUP(#REF!,#REF!,#REF!, "-")</f>
        <v>#REF!</v>
      </c>
      <c r="L117" s="11" t="e">
        <f>IF(_xlfn.XLOOKUP(#REF!,#REF!,#REF!, "-") = "x", "x", "-")</f>
        <v>#REF!</v>
      </c>
      <c r="M117" s="11" t="e">
        <f>IF(_xlfn.XLOOKUP(#REF!,#REF!,#REF!, "-") = "x", "x", "-")</f>
        <v>#REF!</v>
      </c>
      <c r="N117" s="11" t="e">
        <f>IF(_xlfn.XLOOKUP(#REF!,#REF!,#REF!, "-") = "x", "x", "-")</f>
        <v>#REF!</v>
      </c>
      <c r="O117" s="11" t="s">
        <v>165</v>
      </c>
      <c r="P117" s="11" t="s">
        <v>172</v>
      </c>
      <c r="Q117" s="11" t="s">
        <v>1048</v>
      </c>
      <c r="R117" s="11" t="s">
        <v>188</v>
      </c>
    </row>
    <row r="118" spans="1:18">
      <c r="A118" s="302">
        <f t="shared" si="2"/>
        <v>116</v>
      </c>
      <c r="B118" s="11" t="s">
        <v>1058</v>
      </c>
      <c r="C118" s="11" t="e">
        <f>_xlfn.XLOOKUP(#REF!,#REF!,#REF!)</f>
        <v>#REF!</v>
      </c>
      <c r="D118" s="11" t="e">
        <f>_xlfn.XLOOKUP(#REF!,#REF!,#REF!)</f>
        <v>#REF!</v>
      </c>
      <c r="E118" s="11" t="e">
        <f>_xlfn.XLOOKUP(#REF!,#REF!,#REF!)</f>
        <v>#REF!</v>
      </c>
      <c r="F118" s="11" t="s">
        <v>168</v>
      </c>
      <c r="G118" s="11" t="str">
        <f>menaces[[#This Row],[Scénarios de menaces ]]</f>
        <v>Accès non autorisé par un tier aux Postes Windows / Linux</v>
      </c>
      <c r="H118" s="1" t="str">
        <f>menaces[[#This Row],[Sources de menaces]]</f>
        <v>Acteur malveillant/employé/backdoor</v>
      </c>
      <c r="I118" s="11" t="str">
        <f>menaces[[#This Row],[Vraisemblance]]</f>
        <v>Maximale</v>
      </c>
      <c r="J118" s="11" t="s">
        <v>1059</v>
      </c>
      <c r="K118" s="11" t="e">
        <f>_xlfn.XLOOKUP(#REF!,#REF!,#REF!, "-")</f>
        <v>#REF!</v>
      </c>
      <c r="L118" s="11" t="e">
        <f>IF(_xlfn.XLOOKUP(#REF!,#REF!,#REF!, "-") = "x", "x", "-")</f>
        <v>#REF!</v>
      </c>
      <c r="M118" s="11" t="e">
        <f>IF(_xlfn.XLOOKUP(#REF!,#REF!,#REF!, "-") = "x", "x", "-")</f>
        <v>#REF!</v>
      </c>
      <c r="N118" s="11" t="e">
        <f>IF(_xlfn.XLOOKUP(#REF!,#REF!,#REF!, "-") = "x", "x", "-")</f>
        <v>#REF!</v>
      </c>
      <c r="O118" s="11" t="s">
        <v>168</v>
      </c>
      <c r="P118" s="11" t="s">
        <v>172</v>
      </c>
      <c r="Q118" s="11" t="s">
        <v>1060</v>
      </c>
      <c r="R118" s="11" t="s">
        <v>191</v>
      </c>
    </row>
    <row r="119" spans="1:18">
      <c r="A119" s="302">
        <f t="shared" si="2"/>
        <v>117</v>
      </c>
      <c r="B119" s="11" t="s">
        <v>1061</v>
      </c>
      <c r="C119" s="11" t="e">
        <f>_xlfn.XLOOKUP(#REF!,#REF!,#REF!)</f>
        <v>#REF!</v>
      </c>
      <c r="D119" s="11" t="e">
        <f>_xlfn.XLOOKUP(#REF!,#REF!,#REF!)</f>
        <v>#REF!</v>
      </c>
      <c r="E119" s="11" t="e">
        <f>_xlfn.XLOOKUP(#REF!,#REF!,#REF!)</f>
        <v>#REF!</v>
      </c>
      <c r="F119" s="11" t="s">
        <v>168</v>
      </c>
      <c r="G119" s="11" t="str">
        <f>menaces[[#This Row],[Scénarios de menaces ]]</f>
        <v>Escalade de privilèges sur Postes Windows / Linux</v>
      </c>
      <c r="H119" s="1" t="str">
        <f>menaces[[#This Row],[Sources de menaces]]</f>
        <v>Acteur malveillant/employé</v>
      </c>
      <c r="I119" s="11" t="str">
        <f>menaces[[#This Row],[Vraisemblance]]</f>
        <v>Forte</v>
      </c>
      <c r="J119" s="11" t="s">
        <v>1062</v>
      </c>
      <c r="K119" s="11" t="e">
        <f>_xlfn.XLOOKUP(#REF!,#REF!,#REF!, "-")</f>
        <v>#REF!</v>
      </c>
      <c r="L119" s="11" t="e">
        <f>IF(_xlfn.XLOOKUP(#REF!,#REF!,#REF!, "-") = "x", "x", "-")</f>
        <v>#REF!</v>
      </c>
      <c r="M119" s="11" t="e">
        <f>IF(_xlfn.XLOOKUP(#REF!,#REF!,#REF!, "-") = "x", "x", "-")</f>
        <v>#REF!</v>
      </c>
      <c r="N119" s="11" t="e">
        <f>IF(_xlfn.XLOOKUP(#REF!,#REF!,#REF!, "-") = "x", "x", "-")</f>
        <v>#REF!</v>
      </c>
      <c r="O119" s="11" t="s">
        <v>168</v>
      </c>
      <c r="P119" s="11" t="s">
        <v>172</v>
      </c>
      <c r="Q119" s="11" t="s">
        <v>1063</v>
      </c>
      <c r="R119" s="11" t="s">
        <v>191</v>
      </c>
    </row>
    <row r="120" spans="1:18">
      <c r="A120" s="302">
        <f t="shared" si="2"/>
        <v>118</v>
      </c>
      <c r="B120" s="11" t="s">
        <v>1064</v>
      </c>
      <c r="C120" s="11" t="e">
        <f>_xlfn.XLOOKUP(#REF!,#REF!,#REF!)</f>
        <v>#REF!</v>
      </c>
      <c r="D120" s="11" t="e">
        <f>_xlfn.XLOOKUP(#REF!,#REF!,#REF!)</f>
        <v>#REF!</v>
      </c>
      <c r="E120" s="11" t="e">
        <f>_xlfn.XLOOKUP(#REF!,#REF!,#REF!)</f>
        <v>#REF!</v>
      </c>
      <c r="F120" s="11" t="s">
        <v>165</v>
      </c>
      <c r="G120" s="11" t="str">
        <f>menaces[[#This Row],[Scénarios de menaces ]]</f>
        <v>Modification/suppression des données depuis les postes Windows / Linux</v>
      </c>
      <c r="H120" s="1" t="str">
        <f>menaces[[#This Row],[Sources de menaces]]</f>
        <v>Acteur malveillant/employé</v>
      </c>
      <c r="I120" s="11" t="str">
        <f>menaces[[#This Row],[Vraisemblance]]</f>
        <v>Forte</v>
      </c>
      <c r="J120" s="11" t="s">
        <v>1065</v>
      </c>
      <c r="K120" s="11" t="e">
        <f>_xlfn.XLOOKUP(#REF!,#REF!,#REF!, "-")</f>
        <v>#REF!</v>
      </c>
      <c r="L120" s="11" t="e">
        <f>IF(_xlfn.XLOOKUP(#REF!,#REF!,#REF!, "-") = "x", "x", "-")</f>
        <v>#REF!</v>
      </c>
      <c r="M120" s="11" t="e">
        <f>IF(_xlfn.XLOOKUP(#REF!,#REF!,#REF!, "-") = "x", "x", "-")</f>
        <v>#REF!</v>
      </c>
      <c r="N120" s="11" t="e">
        <f>IF(_xlfn.XLOOKUP(#REF!,#REF!,#REF!, "-") = "x", "x", "-")</f>
        <v>#REF!</v>
      </c>
      <c r="O120" s="11" t="s">
        <v>165</v>
      </c>
      <c r="P120" s="11" t="s">
        <v>172</v>
      </c>
      <c r="Q120" s="11" t="s">
        <v>1066</v>
      </c>
      <c r="R120" s="11" t="s">
        <v>191</v>
      </c>
    </row>
    <row r="121" spans="1:18">
      <c r="A121" s="302">
        <f t="shared" si="2"/>
        <v>119</v>
      </c>
      <c r="B121" t="s">
        <v>1067</v>
      </c>
      <c r="C121" s="11" t="e">
        <f>_xlfn.XLOOKUP(#REF!,#REF!,#REF!)</f>
        <v>#REF!</v>
      </c>
      <c r="D121" s="11" t="e">
        <f>_xlfn.XLOOKUP(#REF!,#REF!,#REF!)</f>
        <v>#REF!</v>
      </c>
      <c r="E121" s="11" t="e">
        <f>_xlfn.XLOOKUP(#REF!,#REF!,#REF!)</f>
        <v>#REF!</v>
      </c>
      <c r="F121" s="11" t="s">
        <v>165</v>
      </c>
      <c r="G121" s="11" t="str">
        <f>menaces[[#This Row],[Scénarios de menaces ]]</f>
        <v>Accès direct aux ports (USB notamment) et interfaces internes des machines</v>
      </c>
      <c r="I121" s="11" t="str">
        <f>menaces[[#This Row],[Vraisemblance]]</f>
        <v>Maximale</v>
      </c>
      <c r="J121" t="s">
        <v>1068</v>
      </c>
      <c r="K121" s="11" t="e">
        <f>_xlfn.XLOOKUP(#REF!,#REF!,#REF!, "-")</f>
        <v>#REF!</v>
      </c>
      <c r="L121" s="11" t="e">
        <f>IF(_xlfn.XLOOKUP(#REF!,#REF!,#REF!, "-") = "x", "x", "-")</f>
        <v>#REF!</v>
      </c>
      <c r="M121" s="11" t="e">
        <f>IF(_xlfn.XLOOKUP(#REF!,#REF!,#REF!, "-") = "x", "x", "-")</f>
        <v>#REF!</v>
      </c>
      <c r="N121" s="11" t="e">
        <f>IF(_xlfn.XLOOKUP(#REF!,#REF!,#REF!, "-") = "x", "x", "-")</f>
        <v>#REF!</v>
      </c>
      <c r="O121" t="s">
        <v>165</v>
      </c>
      <c r="P121" t="s">
        <v>172</v>
      </c>
      <c r="Q121" t="s">
        <v>1069</v>
      </c>
      <c r="R121" t="s">
        <v>191</v>
      </c>
    </row>
    <row r="122" spans="1:18">
      <c r="A122" s="302">
        <f t="shared" si="2"/>
        <v>120</v>
      </c>
      <c r="B122" s="11" t="s">
        <v>1070</v>
      </c>
      <c r="C122" s="11" t="e">
        <f>_xlfn.XLOOKUP(#REF!,#REF!,#REF!)</f>
        <v>#REF!</v>
      </c>
      <c r="D122" s="11" t="e">
        <f>_xlfn.XLOOKUP(#REF!,#REF!,#REF!)</f>
        <v>#REF!</v>
      </c>
      <c r="E122" s="11" t="e">
        <f>_xlfn.XLOOKUP(#REF!,#REF!,#REF!)</f>
        <v>#REF!</v>
      </c>
      <c r="F122" s="11" t="s">
        <v>168</v>
      </c>
      <c r="G122" s="11" t="str">
        <f>menaces[[#This Row],[Scénarios de menaces ]]</f>
        <v xml:space="preserve">Exploitation de failles/CVE/zero-day surles Postes utilisateurs </v>
      </c>
      <c r="H122" s="1" t="str">
        <f>menaces[[#This Row],[Sources de menaces]]</f>
        <v>Acteur malveillant</v>
      </c>
      <c r="I122" s="11" t="str">
        <f>menaces[[#This Row],[Vraisemblance]]</f>
        <v>Significative</v>
      </c>
      <c r="J122" s="11" t="s">
        <v>1071</v>
      </c>
      <c r="K122" s="11" t="e">
        <f>_xlfn.XLOOKUP(#REF!,#REF!,#REF!, "-")</f>
        <v>#REF!</v>
      </c>
      <c r="L122" s="11" t="e">
        <f>IF(_xlfn.XLOOKUP(#REF!,#REF!,#REF!, "-") = "x", "x", "-")</f>
        <v>#REF!</v>
      </c>
      <c r="M122" s="11" t="e">
        <f>IF(_xlfn.XLOOKUP(#REF!,#REF!,#REF!, "-") = "x", "x", "-")</f>
        <v>#REF!</v>
      </c>
      <c r="N122" s="11" t="e">
        <f>IF(_xlfn.XLOOKUP(#REF!,#REF!,#REF!, "-") = "x", "x", "-")</f>
        <v>#REF!</v>
      </c>
      <c r="O122" s="11" t="s">
        <v>168</v>
      </c>
      <c r="P122" s="11" t="s">
        <v>172</v>
      </c>
      <c r="Q122" s="11" t="s">
        <v>1072</v>
      </c>
      <c r="R122" s="334" t="s">
        <v>185</v>
      </c>
    </row>
    <row r="123" spans="1:18" ht="15">
      <c r="A123" s="302">
        <f t="shared" si="2"/>
        <v>121</v>
      </c>
      <c r="B123" t="s">
        <v>1073</v>
      </c>
      <c r="C123" s="11"/>
      <c r="D123" s="11"/>
      <c r="F123" s="11" t="s">
        <v>165</v>
      </c>
      <c r="G123" s="11" t="str">
        <f>menaces[[#This Row],[Scénarios de menaces ]]</f>
        <v xml:space="preserve">Configurations faibles et exploitables car manque de hardening sur les machines </v>
      </c>
      <c r="H123" s="1" t="str">
        <f>menaces[[#This Row],[Sources de menaces]]</f>
        <v>Mauvaise configuration</v>
      </c>
      <c r="I123" s="11" t="str">
        <f>menaces[[#This Row],[Vraisemblance]]</f>
        <v>Maximale</v>
      </c>
      <c r="J123" t="s">
        <v>1074</v>
      </c>
      <c r="K123" s="11"/>
      <c r="L123" s="11"/>
      <c r="M123" s="11"/>
      <c r="N123" s="11"/>
      <c r="O123" s="11" t="s">
        <v>165</v>
      </c>
      <c r="P123" s="11" t="s">
        <v>175</v>
      </c>
      <c r="Q123" t="s">
        <v>711</v>
      </c>
      <c r="R123" s="11" t="s">
        <v>188</v>
      </c>
    </row>
    <row r="124" spans="1:18" ht="15">
      <c r="A124" s="302">
        <f t="shared" si="2"/>
        <v>122</v>
      </c>
      <c r="B124" t="s">
        <v>827</v>
      </c>
      <c r="C124" s="11"/>
      <c r="D124" s="11"/>
      <c r="F124" s="11" t="s">
        <v>165</v>
      </c>
      <c r="G124" s="11" t="str">
        <f>menaces[[#This Row],[Scénarios de menaces ]]</f>
        <v>Abus des comptes Admin local sur les Postes utilisateurs</v>
      </c>
      <c r="H124" s="1" t="str">
        <f>menaces[[#This Row],[Sources de menaces]]</f>
        <v>Employés / Hackers / Mauvaise configuration</v>
      </c>
      <c r="I124" s="11" t="str">
        <f>menaces[[#This Row],[Vraisemblance]]</f>
        <v>Significative</v>
      </c>
      <c r="J124" t="s">
        <v>1075</v>
      </c>
      <c r="K124" s="11"/>
      <c r="L124" s="11"/>
      <c r="M124" s="11"/>
      <c r="N124" s="11"/>
      <c r="O124" s="11" t="s">
        <v>165</v>
      </c>
      <c r="P124" s="11" t="s">
        <v>175</v>
      </c>
      <c r="Q124" t="s">
        <v>1076</v>
      </c>
      <c r="R124" s="11" t="s">
        <v>188</v>
      </c>
    </row>
    <row r="125" spans="1:18" ht="15">
      <c r="A125" s="302">
        <f t="shared" si="2"/>
        <v>123</v>
      </c>
      <c r="B125" t="s">
        <v>1077</v>
      </c>
      <c r="C125" s="11"/>
      <c r="D125" s="11"/>
      <c r="F125" s="11" t="s">
        <v>165</v>
      </c>
      <c r="G125" s="11" t="str">
        <f>menaces[[#This Row],[Scénarios de menaces ]]</f>
        <v>Postes Utilisateurs / applications sur les postes non mis à jour</v>
      </c>
      <c r="H125" s="1" t="str">
        <f>menaces[[#This Row],[Sources de menaces]]</f>
        <v>Mauvaise configuration</v>
      </c>
      <c r="I125" s="11" t="str">
        <f>menaces[[#This Row],[Vraisemblance]]</f>
        <v>Significative</v>
      </c>
      <c r="J125" t="s">
        <v>921</v>
      </c>
      <c r="K125" s="11"/>
      <c r="L125" s="11"/>
      <c r="M125" s="11"/>
      <c r="N125" s="11"/>
      <c r="O125" s="11" t="s">
        <v>165</v>
      </c>
      <c r="P125" s="11" t="s">
        <v>175</v>
      </c>
      <c r="R125" s="334" t="s">
        <v>185</v>
      </c>
    </row>
    <row r="126" spans="1:18" ht="15">
      <c r="A126" s="302">
        <f t="shared" si="2"/>
        <v>124</v>
      </c>
      <c r="B126" t="s">
        <v>1078</v>
      </c>
      <c r="C126" s="11"/>
      <c r="D126" s="11"/>
      <c r="F126" s="11" t="s">
        <v>165</v>
      </c>
      <c r="G126" s="11" t="str">
        <f>menaces[[#This Row],[Scénarios de menaces ]]</f>
        <v>Accès physique aux données du disque dur car non chiffré</v>
      </c>
      <c r="H126" s="1" t="str">
        <f>menaces[[#This Row],[Sources de menaces]]</f>
        <v>Hacker/acteur malveillant</v>
      </c>
      <c r="I126" s="11" t="str">
        <f>menaces[[#This Row],[Vraisemblance]]</f>
        <v>Maximale</v>
      </c>
      <c r="J126" t="s">
        <v>1079</v>
      </c>
      <c r="K126" s="11"/>
      <c r="L126" s="11"/>
      <c r="M126" s="11"/>
      <c r="N126" s="11"/>
      <c r="O126" s="11" t="s">
        <v>165</v>
      </c>
      <c r="P126" s="11" t="s">
        <v>175</v>
      </c>
      <c r="Q126" t="s">
        <v>1080</v>
      </c>
      <c r="R126" s="11" t="s">
        <v>191</v>
      </c>
    </row>
    <row r="127" spans="1:18" ht="38.450000000000003" customHeight="1">
      <c r="A127" s="302">
        <f t="shared" si="2"/>
        <v>125</v>
      </c>
      <c r="B127" t="s">
        <v>1081</v>
      </c>
      <c r="C127" s="11"/>
      <c r="D127" s="11"/>
      <c r="F127" s="11" t="s">
        <v>165</v>
      </c>
      <c r="G127" s="11" t="str">
        <f>menaces[[#This Row],[Scénarios de menaces ]]</f>
        <v>Abus d'une segmentation faible entre les LANs pour Postes utilisateurs et le reste de l'infra</v>
      </c>
      <c r="H127" s="1" t="str">
        <f>menaces[[#This Row],[Sources de menaces]]</f>
        <v>Acteur malveillant</v>
      </c>
      <c r="I127" s="11" t="str">
        <f>menaces[[#This Row],[Vraisemblance]]</f>
        <v>Minime</v>
      </c>
      <c r="J127" t="s">
        <v>1082</v>
      </c>
      <c r="K127" s="11"/>
      <c r="L127" s="11"/>
      <c r="M127" s="11"/>
      <c r="N127" s="11"/>
      <c r="O127" s="11" t="s">
        <v>165</v>
      </c>
      <c r="P127" s="11" t="s">
        <v>175</v>
      </c>
      <c r="Q127" s="11" t="s">
        <v>1083</v>
      </c>
      <c r="R127" s="11" t="s">
        <v>188</v>
      </c>
    </row>
    <row r="128" spans="1:18" ht="15">
      <c r="A128" s="302">
        <f t="shared" si="2"/>
        <v>126</v>
      </c>
      <c r="B128" t="s">
        <v>1084</v>
      </c>
      <c r="C128" s="11"/>
      <c r="D128" s="11"/>
      <c r="F128" s="11" t="s">
        <v>165</v>
      </c>
      <c r="G128" s="11" t="str">
        <f>menaces[[#This Row],[Scénarios de menaces ]]</f>
        <v>Installation d'applications non autorisées sur les postes utilisateurs</v>
      </c>
      <c r="H128" s="1" t="str">
        <f>menaces[[#This Row],[Sources de menaces]]</f>
        <v>Acteur malveillant/employé</v>
      </c>
      <c r="I128" s="11" t="str">
        <f>menaces[[#This Row],[Vraisemblance]]</f>
        <v>Maximale</v>
      </c>
      <c r="J128" t="s">
        <v>1085</v>
      </c>
      <c r="K128" s="11"/>
      <c r="L128" s="11"/>
      <c r="M128" s="11"/>
      <c r="N128" s="11"/>
      <c r="O128" s="11" t="s">
        <v>165</v>
      </c>
      <c r="P128" s="11" t="s">
        <v>175</v>
      </c>
      <c r="Q128" t="s">
        <v>1086</v>
      </c>
      <c r="R128" s="11" t="s">
        <v>188</v>
      </c>
    </row>
    <row r="129" spans="1:18" ht="15">
      <c r="A129" s="302">
        <f t="shared" si="2"/>
        <v>127</v>
      </c>
      <c r="B129" t="s">
        <v>1087</v>
      </c>
      <c r="C129" s="11"/>
      <c r="D129" s="11"/>
      <c r="F129" s="11" t="s">
        <v>165</v>
      </c>
      <c r="G129" s="11" t="str">
        <f>menaces[[#This Row],[Scénarios de menaces ]]</f>
        <v xml:space="preserve">Navigateurs web non sécurisés sur les Postes utilisateurs </v>
      </c>
      <c r="H129" s="1" t="str">
        <f>menaces[[#This Row],[Sources de menaces]]</f>
        <v>Employés</v>
      </c>
      <c r="I129" s="11" t="str">
        <f>menaces[[#This Row],[Vraisemblance]]</f>
        <v>Significative</v>
      </c>
      <c r="J129" t="s">
        <v>1088</v>
      </c>
      <c r="K129" s="11"/>
      <c r="L129" s="11"/>
      <c r="M129" s="11"/>
      <c r="N129" s="11"/>
      <c r="O129" s="11" t="s">
        <v>165</v>
      </c>
      <c r="P129" s="11" t="s">
        <v>175</v>
      </c>
      <c r="Q129" t="s">
        <v>1089</v>
      </c>
      <c r="R129" s="11" t="s">
        <v>188</v>
      </c>
    </row>
    <row r="130" spans="1:18" ht="15">
      <c r="A130" s="302">
        <f t="shared" si="2"/>
        <v>128</v>
      </c>
      <c r="B130" t="s">
        <v>1090</v>
      </c>
      <c r="C130" s="11" t="e">
        <f>_xlfn.XLOOKUP(#REF!,#REF!,#REF!)</f>
        <v>#REF!</v>
      </c>
      <c r="D130" s="11" t="e">
        <f>_xlfn.XLOOKUP(#REF!,#REF!,#REF!)</f>
        <v>#REF!</v>
      </c>
      <c r="E130" s="11" t="e">
        <f>_xlfn.XLOOKUP(#REF!,#REF!,#REF!)</f>
        <v>#REF!</v>
      </c>
      <c r="F130" s="11" t="s">
        <v>168</v>
      </c>
      <c r="G130" s="11" t="str">
        <f>menaces[[#This Row],[Scénarios de menaces ]]</f>
        <v>Installation et exécution d'un virus sur un Poste utilisateur</v>
      </c>
      <c r="H130" s="1" t="str">
        <f>menaces[[#This Row],[Sources de menaces]]</f>
        <v>Acteur malveillant/employé</v>
      </c>
      <c r="I130" s="11" t="str">
        <f>menaces[[#This Row],[Vraisemblance]]</f>
        <v>Forte</v>
      </c>
      <c r="J130" t="s">
        <v>1091</v>
      </c>
      <c r="K130" s="11" t="e">
        <f>_xlfn.XLOOKUP(#REF!,#REF!,#REF!, "-")</f>
        <v>#REF!</v>
      </c>
      <c r="L130" s="11" t="e">
        <f>IF(_xlfn.XLOOKUP(#REF!,#REF!,#REF!, "-") = "x", "x", "-")</f>
        <v>#REF!</v>
      </c>
      <c r="M130" s="11" t="e">
        <f>IF(_xlfn.XLOOKUP(#REF!,#REF!,#REF!, "-") = "x", "x", "-")</f>
        <v>#REF!</v>
      </c>
      <c r="N130" s="11" t="e">
        <f>IF(_xlfn.XLOOKUP(#REF!,#REF!,#REF!, "-") = "x", "x", "-")</f>
        <v>#REF!</v>
      </c>
      <c r="O130" s="11" t="s">
        <v>165</v>
      </c>
      <c r="P130" s="11" t="s">
        <v>175</v>
      </c>
      <c r="Q130" t="s">
        <v>1089</v>
      </c>
      <c r="R130" s="11" t="s">
        <v>188</v>
      </c>
    </row>
    <row r="131" spans="1:18">
      <c r="A131" s="302">
        <f t="shared" si="2"/>
        <v>129</v>
      </c>
      <c r="B131" s="11" t="s">
        <v>1092</v>
      </c>
      <c r="C131" s="11" t="e">
        <f>_xlfn.XLOOKUP(#REF!,#REF!,#REF!)</f>
        <v>#REF!</v>
      </c>
      <c r="D131" s="11" t="e">
        <f>_xlfn.XLOOKUP(#REF!,#REF!,#REF!)</f>
        <v>#REF!</v>
      </c>
      <c r="E131" s="11" t="e">
        <f>_xlfn.XLOOKUP(#REF!,#REF!,#REF!)</f>
        <v>#REF!</v>
      </c>
      <c r="F131" s="11" t="s">
        <v>168</v>
      </c>
      <c r="G131" s="11" t="str">
        <f>menaces[[#This Row],[Scénarios de menaces ]]</f>
        <v>Intrusion et vol de matériel informatique</v>
      </c>
      <c r="H131" s="1" t="str">
        <f>menaces[[#This Row],[Sources de menaces]]</f>
        <v>Acteur malveillant/employé</v>
      </c>
      <c r="I131" s="11" t="str">
        <f>menaces[[#This Row],[Vraisemblance]]</f>
        <v>Significative</v>
      </c>
      <c r="J131" s="11" t="s">
        <v>1093</v>
      </c>
      <c r="K131" s="11"/>
      <c r="L131" s="11"/>
      <c r="M131" s="11"/>
      <c r="N131" s="11"/>
      <c r="O131" s="11" t="s">
        <v>1094</v>
      </c>
      <c r="P131" s="11" t="s">
        <v>172</v>
      </c>
      <c r="Q131" s="11" t="s">
        <v>1095</v>
      </c>
      <c r="R131" s="11" t="s">
        <v>191</v>
      </c>
    </row>
    <row r="132" spans="1:18">
      <c r="A132" s="302">
        <f t="shared" ref="A132:A136" si="3">A131+1</f>
        <v>130</v>
      </c>
      <c r="B132" s="11" t="s">
        <v>1096</v>
      </c>
      <c r="C132" s="11" t="e">
        <f>_xlfn.XLOOKUP(#REF!,#REF!,#REF!)</f>
        <v>#REF!</v>
      </c>
      <c r="D132" s="11" t="e">
        <f>_xlfn.XLOOKUP(#REF!,#REF!,#REF!)</f>
        <v>#REF!</v>
      </c>
      <c r="E132" s="11" t="e">
        <f>_xlfn.XLOOKUP(#REF!,#REF!,#REF!)</f>
        <v>#REF!</v>
      </c>
      <c r="F132" s="11" t="s">
        <v>168</v>
      </c>
      <c r="G132" s="11" t="str">
        <f>menaces[[#This Row],[Scénarios de menaces ]]</f>
        <v>Intrusion et destruction de matériel informatique</v>
      </c>
      <c r="H132" s="1" t="str">
        <f>menaces[[#This Row],[Sources de menaces]]</f>
        <v>Acteur malveillant/employé</v>
      </c>
      <c r="I132" s="11" t="str">
        <f>menaces[[#This Row],[Vraisemblance]]</f>
        <v>Minime</v>
      </c>
      <c r="J132" s="11" t="s">
        <v>1093</v>
      </c>
      <c r="K132" s="11"/>
      <c r="L132" s="11"/>
      <c r="M132" s="11"/>
      <c r="N132" s="11"/>
      <c r="O132" s="11" t="s">
        <v>1094</v>
      </c>
      <c r="P132" s="11" t="s">
        <v>172</v>
      </c>
      <c r="Q132" s="11" t="s">
        <v>1095</v>
      </c>
      <c r="R132" s="11" t="s">
        <v>191</v>
      </c>
    </row>
    <row r="133" spans="1:18">
      <c r="A133" s="302">
        <f t="shared" si="3"/>
        <v>131</v>
      </c>
      <c r="B133" s="11" t="s">
        <v>1097</v>
      </c>
      <c r="C133" s="11" t="e">
        <f>_xlfn.XLOOKUP(#REF!,#REF!,#REF!)</f>
        <v>#REF!</v>
      </c>
      <c r="D133" s="11" t="e">
        <f>_xlfn.XLOOKUP(#REF!,#REF!,#REF!)</f>
        <v>#REF!</v>
      </c>
      <c r="E133" s="11" t="e">
        <f>_xlfn.XLOOKUP(#REF!,#REF!,#REF!)</f>
        <v>#REF!</v>
      </c>
      <c r="F133" s="11" t="s">
        <v>168</v>
      </c>
      <c r="G133" s="11" t="str">
        <f>menaces[[#This Row],[Scénarios de menaces ]]</f>
        <v>Incendies dans les locaux de l'entreprise</v>
      </c>
      <c r="H133" s="1" t="str">
        <f>menaces[[#This Row],[Sources de menaces]]</f>
        <v>Incendie accidentel ou malveillant</v>
      </c>
      <c r="I133" s="11" t="str">
        <f>menaces[[#This Row],[Vraisemblance]]</f>
        <v>Minime</v>
      </c>
      <c r="J133" s="11" t="s">
        <v>1098</v>
      </c>
      <c r="K133" s="11"/>
      <c r="L133" s="11"/>
      <c r="M133" s="11"/>
      <c r="N133" s="11"/>
      <c r="O133" s="11" t="s">
        <v>1094</v>
      </c>
      <c r="P133" s="11" t="s">
        <v>172</v>
      </c>
      <c r="Q133" s="11" t="s">
        <v>1099</v>
      </c>
      <c r="R133" s="11" t="s">
        <v>188</v>
      </c>
    </row>
    <row r="134" spans="1:18">
      <c r="A134" s="302">
        <f t="shared" si="3"/>
        <v>132</v>
      </c>
      <c r="B134" s="11" t="s">
        <v>1100</v>
      </c>
      <c r="C134" s="11" t="e">
        <f>_xlfn.XLOOKUP(#REF!,#REF!,#REF!)</f>
        <v>#REF!</v>
      </c>
      <c r="D134" s="11" t="e">
        <f>_xlfn.XLOOKUP(#REF!,#REF!,#REF!)</f>
        <v>#REF!</v>
      </c>
      <c r="E134" s="11" t="e">
        <f>_xlfn.XLOOKUP(#REF!,#REF!,#REF!)</f>
        <v>#REF!</v>
      </c>
      <c r="F134" s="11" t="s">
        <v>168</v>
      </c>
      <c r="G134" s="11" t="str">
        <f>menaces[[#This Row],[Scénarios de menaces ]]</f>
        <v>Dégâts des eaux/inondations</v>
      </c>
      <c r="H134" s="1" t="str">
        <f>menaces[[#This Row],[Sources de menaces]]</f>
        <v>Montée des eaux, incident de tuyauterie</v>
      </c>
      <c r="I134" s="11" t="str">
        <f>menaces[[#This Row],[Vraisemblance]]</f>
        <v>Minime</v>
      </c>
      <c r="J134" s="11" t="s">
        <v>1101</v>
      </c>
      <c r="K134" s="11"/>
      <c r="L134" s="11"/>
      <c r="M134" s="11"/>
      <c r="N134" s="11"/>
      <c r="O134" s="11" t="s">
        <v>172</v>
      </c>
      <c r="P134" s="11" t="s">
        <v>172</v>
      </c>
      <c r="Q134" s="11" t="s">
        <v>1102</v>
      </c>
      <c r="R134" s="11" t="s">
        <v>188</v>
      </c>
    </row>
    <row r="135" spans="1:18">
      <c r="A135" s="302">
        <f t="shared" si="3"/>
        <v>133</v>
      </c>
      <c r="B135" s="11" t="s">
        <v>1103</v>
      </c>
      <c r="C135" s="11" t="e">
        <f>_xlfn.XLOOKUP(#REF!,#REF!,#REF!)</f>
        <v>#REF!</v>
      </c>
      <c r="D135" s="11" t="e">
        <f>_xlfn.XLOOKUP(#REF!,#REF!,#REF!)</f>
        <v>#REF!</v>
      </c>
      <c r="E135" s="11" t="e">
        <f>_xlfn.XLOOKUP(#REF!,#REF!,#REF!)</f>
        <v>#REF!</v>
      </c>
      <c r="F135" s="11" t="s">
        <v>168</v>
      </c>
      <c r="G135" s="11" t="str">
        <f>menaces[[#This Row],[Scénarios de menaces ]]</f>
        <v>Sabotage ou destruction accidentelle de l'alimentation électrique/fibre</v>
      </c>
      <c r="H135" s="1" t="str">
        <f>menaces[[#This Row],[Sources de menaces]]</f>
        <v>Destruction accidentelle (travaux, pelleteuse), acteur malveillant</v>
      </c>
      <c r="I135" s="11" t="str">
        <f>menaces[[#This Row],[Vraisemblance]]</f>
        <v>Minime</v>
      </c>
      <c r="J135" s="11" t="s">
        <v>1104</v>
      </c>
      <c r="K135" s="11"/>
      <c r="L135" s="11"/>
      <c r="M135" s="11"/>
      <c r="N135" s="11"/>
      <c r="O135" s="11" t="s">
        <v>172</v>
      </c>
      <c r="P135" s="11" t="s">
        <v>175</v>
      </c>
      <c r="Q135" s="11" t="s">
        <v>722</v>
      </c>
      <c r="R135" s="11" t="s">
        <v>191</v>
      </c>
    </row>
    <row r="136" spans="1:18" ht="15">
      <c r="A136" s="302">
        <f t="shared" si="3"/>
        <v>134</v>
      </c>
      <c r="B136" t="s">
        <v>1105</v>
      </c>
      <c r="C136" s="11" t="e">
        <f>_xlfn.XLOOKUP(#REF!,#REF!,#REF!)</f>
        <v>#REF!</v>
      </c>
      <c r="D136" s="11" t="e">
        <f>_xlfn.XLOOKUP(#REF!,#REF!,#REF!)</f>
        <v>#REF!</v>
      </c>
      <c r="E136" s="11" t="e">
        <f>_xlfn.XLOOKUP(#REF!,#REF!,#REF!)</f>
        <v>#REF!</v>
      </c>
      <c r="F136" s="11" t="s">
        <v>168</v>
      </c>
      <c r="G136" s="11" t="str">
        <f>menaces[[#This Row],[Scénarios de menaces ]]</f>
        <v>Accès physique et exploitation du mode recovery des machines</v>
      </c>
      <c r="H136" s="1" t="str">
        <f>menaces[[#This Row],[Sources de menaces]]</f>
        <v>Acteur malveillant</v>
      </c>
      <c r="I136" s="11" t="str">
        <f>menaces[[#This Row],[Vraisemblance]]</f>
        <v>Forte</v>
      </c>
      <c r="J136" t="s">
        <v>1106</v>
      </c>
      <c r="K136" s="11" t="e">
        <f>_xlfn.XLOOKUP(#REF!,#REF!,#REF!, "-")</f>
        <v>#REF!</v>
      </c>
      <c r="L136" s="11" t="e">
        <f>IF(_xlfn.XLOOKUP(#REF!,#REF!,#REF!, "-") = "x", "x", "-")</f>
        <v>#REF!</v>
      </c>
      <c r="M136" s="11" t="e">
        <f>IF(_xlfn.XLOOKUP(#REF!,#REF!,#REF!, "-") = "x", "x", "-")</f>
        <v>#REF!</v>
      </c>
      <c r="N136" s="11" t="e">
        <f>IF(_xlfn.XLOOKUP(#REF!,#REF!,#REF!, "-") = "x", "x", "-")</f>
        <v>#REF!</v>
      </c>
      <c r="O136" s="11" t="s">
        <v>168</v>
      </c>
      <c r="P136" s="11" t="s">
        <v>172</v>
      </c>
      <c r="Q136" t="s">
        <v>1080</v>
      </c>
      <c r="R136" s="11" t="s">
        <v>191</v>
      </c>
    </row>
  </sheetData>
  <mergeCells count="5">
    <mergeCell ref="B1:F1"/>
    <mergeCell ref="G1:I1"/>
    <mergeCell ref="J1:N1"/>
    <mergeCell ref="O1:P1"/>
    <mergeCell ref="Q1:R1"/>
  </mergeCells>
  <dataValidations count="1">
    <dataValidation type="list" allowBlank="1" showInputMessage="1" showErrorMessage="1" sqref="B1:B2 G1:G2 G137:G1048576 B137:B1048576" xr:uid="{008AB48F-9E84-4482-9DA6-0A7B5C120FD5}">
      <formula1>#REF!</formula1>
    </dataValidation>
  </dataValidations>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B48F-3CAE-8943-9D69-BA132989154B}">
  <sheetPr codeName="Feuil12">
    <tabColor theme="9" tint="0.79998168889431442"/>
  </sheetPr>
  <dimension ref="A3:I27"/>
  <sheetViews>
    <sheetView showGridLines="0" zoomScale="66" zoomScaleNormal="100" workbookViewId="0">
      <selection activeCell="C25" sqref="C25"/>
    </sheetView>
  </sheetViews>
  <sheetFormatPr defaultColWidth="11.42578125" defaultRowHeight="14.45"/>
  <cols>
    <col min="1" max="1" width="3.42578125" bestFit="1" customWidth="1"/>
    <col min="2" max="2" width="20.140625" style="38" customWidth="1"/>
    <col min="3" max="4" width="20.7109375" customWidth="1"/>
    <col min="5" max="5" width="25.7109375" customWidth="1"/>
    <col min="6" max="6" width="33.5703125" customWidth="1"/>
    <col min="8" max="8" width="13.7109375" customWidth="1"/>
    <col min="9" max="9" width="46.42578125" customWidth="1"/>
  </cols>
  <sheetData>
    <row r="3" spans="1:9">
      <c r="B3" s="350" t="s">
        <v>1107</v>
      </c>
      <c r="C3" s="350"/>
      <c r="D3" s="350"/>
      <c r="E3" s="350"/>
      <c r="F3" s="350"/>
    </row>
    <row r="4" spans="1:9">
      <c r="B4" s="33"/>
      <c r="C4" s="354" t="s">
        <v>265</v>
      </c>
      <c r="D4" s="354"/>
      <c r="E4" s="354"/>
      <c r="F4" s="354"/>
    </row>
    <row r="5" spans="1:9">
      <c r="B5" s="34"/>
      <c r="C5" s="31" t="s">
        <v>159</v>
      </c>
      <c r="D5" s="27" t="s">
        <v>162</v>
      </c>
      <c r="E5" s="27" t="s">
        <v>165</v>
      </c>
      <c r="F5" s="27" t="s">
        <v>168</v>
      </c>
      <c r="G5" s="32"/>
      <c r="H5" s="32"/>
    </row>
    <row r="6" spans="1:9" ht="37.5" customHeight="1">
      <c r="A6" s="355" t="s">
        <v>368</v>
      </c>
      <c r="B6" s="35" t="s">
        <v>172</v>
      </c>
      <c r="C6" s="28" t="str" cm="1">
        <f t="array" ref="C6">_xlfn.TEXTJOIN(", ",TRUE,_xlfn._xlws.FILTER('4.risques'!$A$3:$A$233,('4.risques'!$F$3:$F$233=C$5)*('4.risques'!$I$3:$I$233=$B6),""))</f>
        <v/>
      </c>
      <c r="D6" s="28" t="str" cm="1">
        <f t="array" ref="D6">_xlfn.TEXTJOIN(", ",TRUE,_xlfn._xlws.FILTER('4.risques'!$A$3:$A$233,('4.risques'!$F$3:$F$233=D$5)*('4.risques'!$I$3:$I$233=$B6),""))</f>
        <v/>
      </c>
      <c r="E6" s="28" t="str" cm="1">
        <f t="array" ref="E6">_xlfn.TEXTJOIN(", ",TRUE,_xlfn._xlws.FILTER('4.risques'!$A$3:$A$233,('4.risques'!$F$3:$F$233=E$5)*('4.risques'!$I$3:$I$233=$B6),""))</f>
        <v>13, 32, 35, 39, 41, 59, 62, 63, 91, 107, 112, 113, 125</v>
      </c>
      <c r="F6" s="29" t="str" cm="1">
        <f t="array" ref="F6">_xlfn.TEXTJOIN(", ",TRUE,_xlfn._xlws.FILTER('4.risques'!$A$3:$A$233,('4.risques'!$F$3:$F$233=F$5)*('4.risques'!$I$3:$I$233=$B6),""))</f>
        <v>21, 26, 27, 28, 45, 47, 68, 70, 74, 76, 79, 86, 97, 98, 99, 130, 131, 132, 133</v>
      </c>
    </row>
    <row r="7" spans="1:9" ht="49.15" customHeight="1">
      <c r="A7" s="355"/>
      <c r="B7" s="36" t="s">
        <v>175</v>
      </c>
      <c r="C7" s="28" t="str" cm="1">
        <f t="array" ref="C7">_xlfn.TEXTJOIN(", ",TRUE,_xlfn._xlws.FILTER('4.risques'!$A$3:$A$233,('4.risques'!$F$3:$F$233=C$5)*('4.risques'!$I$3:$I$233=$B7),""))</f>
        <v/>
      </c>
      <c r="D7" s="28" t="str" cm="1">
        <f t="array" ref="D7">_xlfn.TEXTJOIN(", ",TRUE,_xlfn._xlws.FILTER('4.risques'!$A$3:$A$233,('4.risques'!$F$3:$F$233=D$5)*('4.risques'!$I$3:$I$233=$B7),""))</f>
        <v/>
      </c>
      <c r="E7" s="29" t="str" cm="1">
        <f t="array" ref="E7">_xlfn.TEXTJOIN(", ",TRUE,_xlfn._xlws.FILTER('4.risques'!$A$3:$A$233,('4.risques'!$F$3:$F$233=E$5)*('4.risques'!$I$3:$I$233=$B7),""))</f>
        <v>11, 12, 17, 22, 24, 31, 54, 58, 64, 66, 73, 78, 80, 82, 85, 89, 94, 96, 102, 104, 109, 110, 111, 115, 122, 123, 127</v>
      </c>
      <c r="F7" s="29" t="str" cm="1">
        <f t="array" ref="F7">_xlfn.TEXTJOIN(", ",TRUE,_xlfn._xlws.FILTER('4.risques'!$A$3:$A$233,('4.risques'!$F$3:$F$233=F$5)*('4.risques'!$I$3:$I$233=$B7),""))</f>
        <v>5, 10, 15, 16, 18, 20, 30, 36, 38, 46, 49, 51, 55, 56, 69, 75, 83, 84, 90, 92, 93, 95, 105, 108, 114, 120, 129</v>
      </c>
    </row>
    <row r="8" spans="1:9" ht="45.75" customHeight="1">
      <c r="A8" s="355"/>
      <c r="B8" s="36" t="s">
        <v>178</v>
      </c>
      <c r="C8" s="28" t="str" cm="1">
        <f t="array" ref="C8">_xlfn.TEXTJOIN(", ",TRUE,_xlfn._xlws.FILTER('4.risques'!$A$3:$A$233,('4.risques'!$F$3:$F$233=C$5)*('4.risques'!$I$3:$I$233=$B8),""))</f>
        <v/>
      </c>
      <c r="D8" s="29" t="str" cm="1">
        <f t="array" ref="D8">_xlfn.TEXTJOIN(", ",TRUE,_xlfn._xlws.FILTER('4.risques'!$A$3:$A$233,('4.risques'!$F$3:$F$233=D$5)*('4.risques'!$I$3:$I$233=$B8),""))</f>
        <v>44, 87, 88</v>
      </c>
      <c r="E8" s="29" t="str" cm="1">
        <f t="array" ref="E8">_xlfn.TEXTJOIN(", ",TRUE,_xlfn._xlws.FILTER('4.risques'!$A$3:$A$233,('4.risques'!$F$3:$F$233=E$5)*('4.risques'!$I$3:$I$233=$B8),""))</f>
        <v>2, 8, 14, 34, 40, 43, 60, 65, 72, 100, 103, 106, 118</v>
      </c>
      <c r="F8" s="30" t="str" cm="1">
        <f t="array" ref="F8">_xlfn.TEXTJOIN(", ",TRUE,_xlfn._xlws.FILTER('4.risques'!$A$3:$A$233,('4.risques'!$F$3:$F$233=F$5)*('4.risques'!$I$3:$I$233=$B8),""))</f>
        <v>3, 7, 9, 19, 48, 67, 81, 117, 128, 134</v>
      </c>
    </row>
    <row r="9" spans="1:9">
      <c r="A9" s="355"/>
      <c r="B9" s="36" t="s">
        <v>181</v>
      </c>
      <c r="C9" s="29" t="str" cm="1">
        <f t="array" ref="C9">_xlfn.TEXTJOIN(", ",TRUE,_xlfn._xlws.FILTER('4.risques'!$A$3:$A$233,('4.risques'!$F$3:$F$233=C$5)*('4.risques'!$I$3:$I$233=$B9),""))</f>
        <v/>
      </c>
      <c r="D9" s="29" t="str" cm="1">
        <f t="array" ref="D9">_xlfn.TEXTJOIN(", ",TRUE,_xlfn._xlws.FILTER('4.risques'!$A$3:$A$233,('4.risques'!$F$3:$F$233=D$5)*('4.risques'!$I$3:$I$233=$B9),""))</f>
        <v>61</v>
      </c>
      <c r="E9" s="30" t="str" cm="1">
        <f t="array" ref="E9">_xlfn.TEXTJOIN(", ",TRUE,_xlfn._xlws.FILTER('4.risques'!$A$3:$A$233,('4.risques'!$F$3:$F$233=E$5)*('4.risques'!$I$3:$I$233=$B9),""))</f>
        <v>4, 25, 29, 42, 50, 53, 71, 77, 101, 119, 121, 124, 126</v>
      </c>
      <c r="F9" s="30" t="str" cm="1">
        <f t="array" ref="F9">_xlfn.TEXTJOIN(", ",TRUE,_xlfn._xlws.FILTER('4.risques'!$A$3:$A$233,('4.risques'!$F$3:$F$233=F$5)*('4.risques'!$I$3:$I$233=$B9),""))</f>
        <v>1, 23, 33, 37, 52, 57, 116</v>
      </c>
    </row>
    <row r="12" spans="1:9">
      <c r="B12" s="351" t="s">
        <v>1108</v>
      </c>
      <c r="C12" s="352"/>
      <c r="D12" s="352"/>
      <c r="E12" s="352"/>
      <c r="F12" s="353"/>
      <c r="I12" s="39" t="s">
        <v>1109</v>
      </c>
    </row>
    <row r="13" spans="1:9">
      <c r="B13" s="37"/>
      <c r="C13" s="350" t="s">
        <v>265</v>
      </c>
      <c r="D13" s="350"/>
      <c r="E13" s="350"/>
      <c r="F13" s="350"/>
      <c r="H13" s="5" t="s">
        <v>185</v>
      </c>
      <c r="I13" s="30" t="str" cm="1">
        <f t="array" ref="I13">_xlfn.TEXTJOIN(", ",TRUE,_xlfn._xlws.FILTER('4.risques'!$A$3:$A$251,'4.risques'!$R$3:$R$251=$H13,""))</f>
        <v>57, 58, 89, 101, 102, 103, 120, 123</v>
      </c>
    </row>
    <row r="14" spans="1:9" ht="45.6" customHeight="1">
      <c r="B14" s="34"/>
      <c r="C14" s="27" t="s">
        <v>159</v>
      </c>
      <c r="D14" s="27" t="s">
        <v>162</v>
      </c>
      <c r="E14" s="27" t="s">
        <v>165</v>
      </c>
      <c r="F14" s="27" t="s">
        <v>168</v>
      </c>
      <c r="H14" s="31" t="s">
        <v>188</v>
      </c>
      <c r="I14" s="29" t="str" cm="1">
        <f t="array" ref="I14">_xlfn.TEXTJOIN(", ",TRUE,_xlfn._xlws.FILTER('4.risques'!$A$3:$A$251,'4.risques'!$R$3:$R$251=$H14,""))</f>
        <v>4, 9, 10, 12, 13, 16, 17, 18, 22, 24, 26, 29, 34, 35, 38, 42, 43, 49, 54, 55, 59, 60, 61, 62, 63, 64, 65, 66, 68, 70, 71, 72, 73, 76, 77, 78, 79, 80, 81, 82, 87, 88, 90, 93, 94, 95, 96, 104, 105, 106, 109, 110, 111, 115, 121, 122, 125, 126, 127, 128, 131, 132</v>
      </c>
    </row>
    <row r="15" spans="1:9" ht="73.150000000000006" customHeight="1">
      <c r="A15" s="347" t="s">
        <v>368</v>
      </c>
      <c r="B15" s="36" t="s">
        <v>172</v>
      </c>
      <c r="C15" s="28" t="str" cm="1">
        <f t="array" ref="C15">_xlfn.TEXTJOIN(", ",TRUE,_xlfn._xlws.FILTER('4.risques'!$A$3:$A$251,('4.risques'!$O$3:$O$251=C$14)*('4.risques'!$P$3:$P$251=$B15),""))</f>
        <v/>
      </c>
      <c r="D15" s="28" t="str" cm="1">
        <f t="array" ref="D15">_xlfn.TEXTJOIN(", ",TRUE,_xlfn._xlws.FILTER('4.risques'!$A$3:$A$251,('4.risques'!$O$3:$O$251=D$14)*('4.risques'!$P$3:$P$251=$B15),""))</f>
        <v>2, 8, 13, 22, 25, 44, 61, 77, 86, 87, 88, 89, 96</v>
      </c>
      <c r="E15" s="28" t="str" cm="1">
        <f t="array" ref="E15">_xlfn.TEXTJOIN(", ",TRUE,_xlfn._xlws.FILTER('4.risques'!$A$3:$A$251,('4.risques'!$O$3:$O$251=E$14)*('4.risques'!$P$3:$P$251=$B15),""))</f>
        <v>3, 11, 12, 17, 29, 32, 34, 35, 39, 40, 41, 43, 49, 54, 58, 59, 62, 63, 64, 65, 66, 68, 70, 71, 73, 78, 79, 80, 81, 82, 85, 91, 93, 94, 95, 106, 107, 109, 110, 111, 112, 113, 115, 118, 119</v>
      </c>
      <c r="F15" s="29" t="str" cm="1">
        <f t="array" ref="F15">_xlfn.TEXTJOIN(", ",TRUE,_xlfn._xlws.FILTER('4.risques'!$A$3:$A$251,('4.risques'!$O$3:$O$251=F$14)*('4.risques'!$P$3:$P$251=$B15),""))</f>
        <v>5, 7, 16, 18, 19, 21, 26, 27, 28, 30, 36, 38, 45, 46, 47, 55, 56, 57, 67, 69, 74, 75, 76, 83, 84, 90, 92, 97, 114, 116, 117, 120, 134</v>
      </c>
      <c r="H15" s="5" t="s">
        <v>191</v>
      </c>
      <c r="I15" s="28" t="str" cm="1">
        <f t="array" ref="I15">_xlfn.TEXTJOIN(", ",TRUE,_xlfn._xlws.FILTER('4.risques'!$A$3:$A$251,'4.risques'!$R$3:$R$251=$H15,""))</f>
        <v>1, 2, 3, 7, 8, 11, 14, 15, 19, 20, 21, 23, 25, 27, 30, 31, 32, 33, 36, 37, 39, 40, 41, 44, 45, 47, 48, 50, 51, 52, 53, 56, 67, 69, 74, 75, 83, 84, 86, 91, 92, 97, 107, 108, 112, 113, 114, 116, 117, 118, 119, 124, 129, 130, 133, 134</v>
      </c>
    </row>
    <row r="16" spans="1:9">
      <c r="A16" s="348"/>
      <c r="B16" s="36" t="s">
        <v>175</v>
      </c>
      <c r="C16" s="28" t="str" cm="1">
        <f t="array" ref="C16">_xlfn.TEXTJOIN(", ",TRUE,_xlfn._xlws.FILTER('4.risques'!$A$3:$A$251,('4.risques'!$O$3:$O$251=C$14)*('4.risques'!$P$3:$P$251=$B16),""))</f>
        <v/>
      </c>
      <c r="D16" s="28" t="str" cm="1">
        <f t="array" ref="D16">_xlfn.TEXTJOIN(", ",TRUE,_xlfn._xlws.FILTER('4.risques'!$A$3:$A$251,('4.risques'!$O$3:$O$251=D$14)*('4.risques'!$P$3:$P$251=$B16),""))</f>
        <v>1, 4</v>
      </c>
      <c r="E16" s="29" t="str" cm="1">
        <f t="array" ref="E16">_xlfn.TEXTJOIN(", ",TRUE,_xlfn._xlws.FILTER('4.risques'!$A$3:$A$251,('4.risques'!$O$3:$O$251=E$14)*('4.risques'!$P$3:$P$251=$B16),""))</f>
        <v>14, 24, 31, 48, 53, 60, 72, 98, 99, 100, 101, 102, 103, 104, 105, 121, 122, 123, 124, 125, 126, 127, 128</v>
      </c>
      <c r="F16" s="29" t="str" cm="1">
        <f t="array" ref="F16">_xlfn.TEXTJOIN(", ",TRUE,_xlfn._xlws.FILTER('4.risques'!$A$3:$A$251,('4.risques'!$O$3:$O$251=F$14)*('4.risques'!$P$3:$P$251=$B16),""))</f>
        <v>9, 10, 20, 37, 50, 51, 52, 108</v>
      </c>
      <c r="H16" s="5" t="s">
        <v>194</v>
      </c>
      <c r="I16" s="303" t="str" cm="1">
        <f t="array" ref="I16">_xlfn.TEXTJOIN(", ",TRUE,_xlfn._xlws.FILTER('4.risques'!$A$3:$A$251,'4.risques'!$R$3:$R$251=$H16,""))</f>
        <v>5, 28, 46, 85</v>
      </c>
    </row>
    <row r="17" spans="1:6">
      <c r="A17" s="348"/>
      <c r="B17" s="36" t="s">
        <v>178</v>
      </c>
      <c r="C17" s="28" t="str" cm="1">
        <f t="array" ref="C17">_xlfn.TEXTJOIN(", ",TRUE,_xlfn._xlws.FILTER('4.risques'!$A$3:$A$251,('4.risques'!$O$3:$O$251=C$14)*('4.risques'!$P$3:$P$251=$B17),""))</f>
        <v/>
      </c>
      <c r="D17" s="29" t="str" cm="1">
        <f t="array" ref="D17">_xlfn.TEXTJOIN(", ",TRUE,_xlfn._xlws.FILTER('4.risques'!$A$3:$A$251,('4.risques'!$O$3:$O$251=D$14)*('4.risques'!$P$3:$P$251=$B17),""))</f>
        <v>23</v>
      </c>
      <c r="E17" s="29" t="str" cm="1">
        <f t="array" ref="E17">_xlfn.TEXTJOIN(", ",TRUE,_xlfn._xlws.FILTER('4.risques'!$A$3:$A$251,('4.risques'!$O$3:$O$251=E$14)*('4.risques'!$P$3:$P$251=$B17),""))</f>
        <v>42</v>
      </c>
      <c r="F17" s="30" t="str" cm="1">
        <f t="array" ref="F17">_xlfn.TEXTJOIN(", ",TRUE,_xlfn._xlws.FILTER('4.risques'!$A$3:$A$251,('4.risques'!$O$3:$O$251=F$14)*('4.risques'!$P$3:$P$251=$B17),""))</f>
        <v>15, 33</v>
      </c>
    </row>
    <row r="18" spans="1:6">
      <c r="A18" s="349"/>
      <c r="B18" s="36" t="s">
        <v>181</v>
      </c>
      <c r="C18" s="29" t="str" cm="1">
        <f t="array" ref="C18">_xlfn.TEXTJOIN(", ",TRUE,_xlfn._xlws.FILTER('4.risques'!$A$3:$A$251,('4.risques'!$O$3:$O$251=C$14)*('4.risques'!$P$3:$P$251=$B18),""))</f>
        <v/>
      </c>
      <c r="D18" s="29" t="str" cm="1">
        <f t="array" ref="D18">_xlfn.TEXTJOIN(", ",TRUE,_xlfn._xlws.FILTER('4.risques'!$A$3:$A$251,('4.risques'!$O$3:$O$251=D$14)*('4.risques'!$P$3:$P$251=$B18),""))</f>
        <v/>
      </c>
      <c r="E18" s="30" t="str" cm="1">
        <f t="array" ref="E18">_xlfn.TEXTJOIN(", ",TRUE,_xlfn._xlws.FILTER('4.risques'!$A$3:$A$251,('4.risques'!$O$3:$O$251=E$14)*('4.risques'!$P$3:$P$251=$B18),""))</f>
        <v/>
      </c>
      <c r="F18" s="30" t="str" cm="1">
        <f t="array" ref="F18">_xlfn.TEXTJOIN(", ",TRUE,_xlfn._xlws.FILTER('4.risques'!$A$3:$A$251,('4.risques'!$O$3:$O$251=F$14)*('4.risques'!$P$3:$P$251=$B18),""))</f>
        <v/>
      </c>
    </row>
    <row r="27" spans="1:6" ht="23.45" customHeight="1"/>
  </sheetData>
  <mergeCells count="6">
    <mergeCell ref="A15:A18"/>
    <mergeCell ref="B3:F3"/>
    <mergeCell ref="B12:F12"/>
    <mergeCell ref="C4:F4"/>
    <mergeCell ref="A6:A9"/>
    <mergeCell ref="C13:F1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1DE52F2-F611-E448-8AE8-508700812F2F}">
          <x14:formula1>
            <xm:f>'1.Métriques'!$B$29:$B$32</xm:f>
          </x14:formula1>
          <xm:sqref>C5:F5 C14:F14</xm:sqref>
        </x14:dataValidation>
        <x14:dataValidation type="list" allowBlank="1" showInputMessage="1" showErrorMessage="1" xr:uid="{D29975D7-0636-5247-8BE2-1F89F0027FCD}">
          <x14:formula1>
            <xm:f>'1.Métriques'!$B$37:$B$40</xm:f>
          </x14:formula1>
          <xm:sqref>B5:B11 B1:B2 B14:B20 B28:B1048576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983023c-a1a9-4eea-a36b-b194504656e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6FA068FF4D0346BB54309AAB65DCE2" ma:contentTypeVersion="11" ma:contentTypeDescription="Crée un document." ma:contentTypeScope="" ma:versionID="8e2b74e831a8932233584aa96947d0a7">
  <xsd:schema xmlns:xsd="http://www.w3.org/2001/XMLSchema" xmlns:xs="http://www.w3.org/2001/XMLSchema" xmlns:p="http://schemas.microsoft.com/office/2006/metadata/properties" xmlns:ns3="c983023c-a1a9-4eea-a36b-b194504656ee" targetNamespace="http://schemas.microsoft.com/office/2006/metadata/properties" ma:root="true" ma:fieldsID="7c12622ba2a745932224c42fb9c6a405" ns3:_="">
    <xsd:import namespace="c983023c-a1a9-4eea-a36b-b194504656e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83023c-a1a9-4eea-a36b-b194504656e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65FC7B-3D9F-498D-8D35-CEB1CC260DF6}"/>
</file>

<file path=customXml/itemProps2.xml><?xml version="1.0" encoding="utf-8"?>
<ds:datastoreItem xmlns:ds="http://schemas.openxmlformats.org/officeDocument/2006/customXml" ds:itemID="{69655B18-70C7-48A3-A852-48E840A84D8B}"/>
</file>

<file path=customXml/itemProps3.xml><?xml version="1.0" encoding="utf-8"?>
<ds:datastoreItem xmlns:ds="http://schemas.openxmlformats.org/officeDocument/2006/customXml" ds:itemID="{ED6FBCAD-C030-4DEA-B1E2-6DBB1C604C22}"/>
</file>

<file path=docMetadata/LabelInfo.xml><?xml version="1.0" encoding="utf-8"?>
<clbl:labelList xmlns:clbl="http://schemas.microsoft.com/office/2020/mipLabelMetadata">
  <clbl:label id="{071edcc8-175f-4027-a4a2-deae881fec97}" enabled="1" method="Standard" siteId="{d2ea9939-ce73-4fec-8ef0-d2603889b7c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Calderaro</dc:creator>
  <cp:keywords/>
  <dc:description/>
  <cp:lastModifiedBy/>
  <cp:revision/>
  <dcterms:created xsi:type="dcterms:W3CDTF">2022-04-11T11:23:18Z</dcterms:created>
  <dcterms:modified xsi:type="dcterms:W3CDTF">2026-06-24T21:45:11Z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0x010100D16FA068FF4D0346BB54309AAB65DCE2</vt:lpwstr>
  </property>
  <property fmtid="{D5CDD505-2E9C-101B-9397-08002B2CF9AE}" pid="3" name="MSIP_Label_47e7dfc5-2bf4-4a75-8664-2dc4b3bb1d09_Enabled">
    <vt:lpwstr>true</vt:lpwstr>
  </property>
  <property fmtid="{D5CDD505-2E9C-101B-9397-08002B2CF9AE}" pid="4" name="MSIP_Label_47e7dfc5-2bf4-4a75-8664-2dc4b3bb1d09_SetDate">
    <vt:lpwstr>2026-05-11T12:02:48Z</vt:lpwstr>
  </property>
  <property fmtid="{D5CDD505-2E9C-101B-9397-08002B2CF9AE}" pid="5" name="MSIP_Label_47e7dfc5-2bf4-4a75-8664-2dc4b3bb1d09_Method">
    <vt:lpwstr>Standard</vt:lpwstr>
  </property>
  <property fmtid="{D5CDD505-2E9C-101B-9397-08002B2CF9AE}" pid="6" name="MSIP_Label_47e7dfc5-2bf4-4a75-8664-2dc4b3bb1d09_Name">
    <vt:lpwstr>defa4170-0d19-0005-0004-bc88714345d2</vt:lpwstr>
  </property>
  <property fmtid="{D5CDD505-2E9C-101B-9397-08002B2CF9AE}" pid="7" name="MSIP_Label_47e7dfc5-2bf4-4a75-8664-2dc4b3bb1d09_SiteId">
    <vt:lpwstr>413600cf-bd4e-4c7c-8a61-69e73cddf731</vt:lpwstr>
  </property>
  <property fmtid="{D5CDD505-2E9C-101B-9397-08002B2CF9AE}" pid="8" name="MSIP_Label_47e7dfc5-2bf4-4a75-8664-2dc4b3bb1d09_ActionId">
    <vt:lpwstr>9691485d-7403-4977-88c5-8cc6bbbf582c</vt:lpwstr>
  </property>
  <property fmtid="{D5CDD505-2E9C-101B-9397-08002B2CF9AE}" pid="9" name="MSIP_Label_47e7dfc5-2bf4-4a75-8664-2dc4b3bb1d09_ContentBits">
    <vt:lpwstr>0</vt:lpwstr>
  </property>
  <property fmtid="{D5CDD505-2E9C-101B-9397-08002B2CF9AE}" pid="10" name="MSIP_Label_47e7dfc5-2bf4-4a75-8664-2dc4b3bb1d09_Tag">
    <vt:lpwstr>10, 3, 0, 2</vt:lpwstr>
  </property>
</Properties>
</file>