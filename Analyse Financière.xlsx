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187B5CA4-1A31-48AD-B505-3975171CBF5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5" i="1" l="1"/>
  <c r="F26" i="1"/>
  <c r="G19" i="1"/>
  <c r="G14" i="1"/>
  <c r="G25" i="1"/>
  <c r="G26" i="1"/>
  <c r="G20" i="1"/>
  <c r="G21" i="1"/>
  <c r="G13" i="1"/>
  <c r="G6" i="1"/>
  <c r="G7" i="1"/>
  <c r="G8" i="1"/>
  <c r="G5" i="1"/>
  <c r="G12" i="1"/>
  <c r="G11" i="1"/>
  <c r="G28" i="1"/>
  <c r="G29" i="1"/>
  <c r="G30" i="1"/>
  <c r="G31" i="1"/>
  <c r="G27" i="1"/>
  <c r="E32" i="1" s="1"/>
  <c r="E34" i="1" s="1"/>
  <c r="G9" i="1"/>
  <c r="G10" i="1"/>
  <c r="G15" i="1"/>
  <c r="G16" i="1"/>
  <c r="G17" i="1"/>
  <c r="G18" i="1"/>
  <c r="G22" i="1"/>
  <c r="G4" i="1"/>
  <c r="E23" i="1" l="1"/>
</calcChain>
</file>

<file path=xl/sharedStrings.xml><?xml version="1.0" encoding="utf-8"?>
<sst xmlns="http://schemas.openxmlformats.org/spreadsheetml/2006/main" count="115" uniqueCount="84">
  <si>
    <t>Catégorie</t>
  </si>
  <si>
    <t>Élément</t>
  </si>
  <si>
    <t>Modèle</t>
  </si>
  <si>
    <t>Quantité</t>
  </si>
  <si>
    <t>Coût Unitaire Est.</t>
  </si>
  <si>
    <t>Total</t>
  </si>
  <si>
    <t>Commentaire</t>
  </si>
  <si>
    <t>CAPEX</t>
  </si>
  <si>
    <t>MATÉRIEL</t>
  </si>
  <si>
    <t>Serveur physique de virtualisation</t>
  </si>
  <si>
    <t>LDLC PC SERVEPRO 2U PRO Ultra 5</t>
  </si>
  <si>
    <t>https://www.ldlc.pro/fiche/PB00630716.html</t>
  </si>
  <si>
    <t>RAM serveur de virtualisation</t>
  </si>
  <si>
    <t>Kingston 32 Go DDR5 5600 MHz CL46 2RX8</t>
  </si>
  <si>
    <t>Seulement 16Go de RAM sur le Serveur donc on mets 128Go : https://www.ldlc.pro/fiche/PB00718258.html</t>
  </si>
  <si>
    <t>Disques dur serveur virtualisation</t>
  </si>
  <si>
    <t>Fujitsu 1.6TB 2.5" SAS 12Gb/s</t>
  </si>
  <si>
    <t>Disque dur SAS : https://www.ldlc.pro/fiche/PB00699518.html</t>
  </si>
  <si>
    <t>NAS</t>
  </si>
  <si>
    <t>Synology DiskStation DS1525+</t>
  </si>
  <si>
    <t>Une baie de stockage principal et une baie de stockage pour les sauvegardes et backup. https://www.ldlc.pro/fiche/PB00691571.html</t>
  </si>
  <si>
    <t>Disques dur NAS</t>
  </si>
  <si>
    <t>Seagate IronWolf 10 To (ST10000VN000)</t>
  </si>
  <si>
    <t>https://www.ldlc.pro/fiche/PB00488512.html</t>
  </si>
  <si>
    <t>Postes utilisateurs</t>
  </si>
  <si>
    <t>Lenovo IdeaPad 3 17IRU7</t>
  </si>
  <si>
    <t>Postes utilisateurs (à voir si on peut en achter avec Windows 11 pro direct) : https://www.amazon.fr/Lenovo-IdeaPad-17IRU7-Ordinateur-Portable/dp/B0F544Q3YZ/ref=sr_1_7?__mk_fr_FR=%C3%85M%C3%85%C5%BD%C3%95%C3%91&amp;sr=8-7</t>
  </si>
  <si>
    <t>Pare-feux</t>
  </si>
  <si>
    <t>Protetcli VP2420</t>
  </si>
  <si>
    <t>Pare-feu nord (qu'on double) et pare-feu sud : https://eu.protectli.com/product/vp2420/</t>
  </si>
  <si>
    <t>Switchs</t>
  </si>
  <si>
    <t>Cisco Catalyst 1200 C1200-24T-4X</t>
  </si>
  <si>
    <t>https://www.ldlc.pro/fiche/PB00602402.html</t>
  </si>
  <si>
    <t>Onduleurs</t>
  </si>
  <si>
    <t>APC Easy UPS SRV</t>
  </si>
  <si>
    <t>https://www.ldlc.pro/fiche/PB00744336.html</t>
  </si>
  <si>
    <t>Armoir pour les racks</t>
  </si>
  <si>
    <t>StarTech.com Armoire serveur 18U à 4 montants</t>
  </si>
  <si>
    <t>https://www.ldlc.pro/fiche/PB00696177.html</t>
  </si>
  <si>
    <t>LOGICIEL</t>
  </si>
  <si>
    <t>License ESXi</t>
  </si>
  <si>
    <t>UCS E-Series VMware ESXi 7 Foundation (with vCenter) License</t>
  </si>
  <si>
    <t>https://itprice.com/fr/cisco/fl-ucse-vs7-fnd.html</t>
  </si>
  <si>
    <t>Licenses Windows 11 pro</t>
  </si>
  <si>
    <t>Windows 11 pro</t>
  </si>
  <si>
    <t>Licenses Windows serveur 2022</t>
  </si>
  <si>
    <t>Pack de licences Windows Server 2025 Standard 16 cœurs + 10 licences d’accès client</t>
  </si>
  <si>
    <t>On achète la version 2025 et on downgrad sur le 2022. Normalement ça suffit pour 25 machines et 50 users d'après le site microsoft: https://www.microsoft.com/fr-fr/d/windows-server-2025-standard/dg7gmgf0wzrw/0001</t>
  </si>
  <si>
    <t>Nom de domaine</t>
  </si>
  <si>
    <t>OVH</t>
  </si>
  <si>
    <t>HUMAIN</t>
  </si>
  <si>
    <t>Jour Homme</t>
  </si>
  <si>
    <t>Installation et configuration du matériel physique</t>
  </si>
  <si>
    <t>Installation des serveurs et des services</t>
  </si>
  <si>
    <t>Tests</t>
  </si>
  <si>
    <t>Formation du personnel</t>
  </si>
  <si>
    <t>Jour Homme gestion de projet</t>
  </si>
  <si>
    <t>Chef de projet IT</t>
  </si>
  <si>
    <t>TOTAL</t>
  </si>
  <si>
    <t>TOTAL CAPEX</t>
  </si>
  <si>
    <t>OPEX</t>
  </si>
  <si>
    <t>Consommation électrique</t>
  </si>
  <si>
    <t>Alimentation</t>
  </si>
  <si>
    <t>0,35kW * 24 * 365 * 0,26 (https://particuliers.engie.fr/electricite/conseils-electricite/conseils-tarifs-electricite/prix-electricite-europe.html)</t>
  </si>
  <si>
    <t xml:space="preserve">Consommation électrique </t>
  </si>
  <si>
    <t>Climatisation de la salle serveur</t>
  </si>
  <si>
    <t>On considère que c'est la moitié de la consommation pour l'alimentation</t>
  </si>
  <si>
    <t>License ESET</t>
  </si>
  <si>
    <t>https://www.eset.com/fr/business/bundle-protection-entry/</t>
  </si>
  <si>
    <t>License Veeam</t>
  </si>
  <si>
    <t>Veeam Data Platform Foundation</t>
  </si>
  <si>
    <t>https://store.veeam.com/1620/catalog/category.97211/?cfg=1620_veeam&amp;cookie=true&amp;b2b=true&amp;x-purchase-type=NEW&amp;tracking=gtmtracking&amp;recommendation=WDL_10_120</t>
  </si>
  <si>
    <t>License Graylog</t>
  </si>
  <si>
    <t>à notre nivieau pas besoin de la licese commerciale : https://graylog.org/pricing/</t>
  </si>
  <si>
    <t>Jour Homme maintenance</t>
  </si>
  <si>
    <t>Maintenance opérationnel, application des correctifs de sécurité, correction des bugs</t>
  </si>
  <si>
    <t>4 jours par mois arrondis à 50</t>
  </si>
  <si>
    <t>TOLAL</t>
  </si>
  <si>
    <t>TOTAL OPEX</t>
  </si>
  <si>
    <t>à renouveler tous les ans</t>
  </si>
  <si>
    <t>Coût total sur 5 ans</t>
  </si>
  <si>
    <t>Amortissement du matériel</t>
  </si>
  <si>
    <t xml:space="preserve">CAPEX - Installation humaine </t>
  </si>
  <si>
    <t>Le coût matériel représente 5776€ par an sur un amortissement de 5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</si>
</sst>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#,##0.00\ &quot;€&quot;"/>
  </numFmts>
  <fonts count="5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6" fontId="2" fillId="0" borderId="1" xfId="0" applyNumberFormat="1" applyFont="1" applyBorder="1" applyAlignment="1">
      <alignment readingOrder="1"/>
    </xf>
    <xf numFmtId="0" fontId="0" fillId="0" borderId="1" xfId="0" applyBorder="1"/>
    <xf numFmtId="0" fontId="2" fillId="0" borderId="1" xfId="0" quotePrefix="1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0" fillId="0" borderId="5" xfId="0" applyBorder="1"/>
    <xf numFmtId="6" fontId="2" fillId="0" borderId="5" xfId="0" applyNumberFormat="1" applyFont="1" applyBorder="1" applyAlignment="1">
      <alignment readingOrder="1"/>
    </xf>
    <xf numFmtId="0" fontId="4" fillId="0" borderId="1" xfId="1" applyFont="1" applyBorder="1"/>
    <xf numFmtId="0" fontId="2" fillId="0" borderId="1" xfId="0" applyFont="1" applyBorder="1" applyAlignment="1">
      <alignment wrapText="1" readingOrder="1"/>
    </xf>
    <xf numFmtId="0" fontId="0" fillId="0" borderId="5" xfId="0" applyBorder="1" applyAlignment="1">
      <alignment wrapText="1"/>
    </xf>
    <xf numFmtId="164" fontId="2" fillId="0" borderId="1" xfId="0" applyNumberFormat="1" applyFont="1" applyBorder="1" applyAlignment="1">
      <alignment readingOrder="1"/>
    </xf>
    <xf numFmtId="0" fontId="2" fillId="2" borderId="1" xfId="0" applyFont="1" applyFill="1" applyBorder="1" applyAlignment="1">
      <alignment horizontal="left" readingOrder="1"/>
    </xf>
    <xf numFmtId="6" fontId="2" fillId="0" borderId="2" xfId="0" applyNumberFormat="1" applyFont="1" applyBorder="1" applyAlignment="1">
      <alignment horizontal="right" readingOrder="1"/>
    </xf>
    <xf numFmtId="0" fontId="2" fillId="0" borderId="3" xfId="0" applyFont="1" applyBorder="1" applyAlignment="1">
      <alignment horizontal="right" readingOrder="1"/>
    </xf>
    <xf numFmtId="0" fontId="2" fillId="0" borderId="4" xfId="0" applyFont="1" applyBorder="1" applyAlignment="1">
      <alignment horizontal="right" readingOrder="1"/>
    </xf>
    <xf numFmtId="6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0" applyFont="1" applyFill="1" applyBorder="1" applyAlignment="1">
      <alignment readingOrder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1" applyFont="1" applyBorder="1" applyAlignment="1">
      <alignment wrapText="1"/>
    </xf>
    <xf numFmtId="0" fontId="4" fillId="0" borderId="5" xfId="0" applyFont="1" applyBorder="1"/>
    <xf numFmtId="6" fontId="2" fillId="0" borderId="1" xfId="0" applyNumberFormat="1" applyFont="1" applyBorder="1" applyAlignment="1">
      <alignment horizontal="right" readingOrder="1"/>
    </xf>
    <xf numFmtId="0" fontId="2" fillId="0" borderId="1" xfId="0" applyFont="1" applyBorder="1" applyAlignment="1">
      <alignment horizontal="right" readingOrder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dlc.pro/fiche/PB00630716.html" TargetMode="External"/><Relationship Id="rId3" Type="http://schemas.openxmlformats.org/officeDocument/2006/relationships/hyperlink" Target="https://www.ldlc.pro/fiche/PB00744336.html" TargetMode="External"/><Relationship Id="rId7" Type="http://schemas.openxmlformats.org/officeDocument/2006/relationships/hyperlink" Target="https://www.ldlc.pro/fiche/PB00696177.html" TargetMode="External"/><Relationship Id="rId2" Type="http://schemas.openxmlformats.org/officeDocument/2006/relationships/hyperlink" Target="https://www.ldlc.pro/fiche/PB00488512.html" TargetMode="External"/><Relationship Id="rId1" Type="http://schemas.openxmlformats.org/officeDocument/2006/relationships/hyperlink" Target="https://www.ldlc.pro/fiche/PB00602402.html" TargetMode="External"/><Relationship Id="rId6" Type="http://schemas.openxmlformats.org/officeDocument/2006/relationships/hyperlink" Target="https://graylog.org/pricing/" TargetMode="External"/><Relationship Id="rId5" Type="http://schemas.openxmlformats.org/officeDocument/2006/relationships/hyperlink" Target="https://store.veeam.com/1620/catalog/category.97211/?cfg=1620_veeam&amp;cookie=true&amp;b2b=true&amp;x-purchase-type=NEW&amp;tracking=gtmtracking&amp;recommendation=WDL_10_120" TargetMode="External"/><Relationship Id="rId4" Type="http://schemas.openxmlformats.org/officeDocument/2006/relationships/hyperlink" Target="https://www.eset.com/fr/business/bundle-protection-entry/" TargetMode="External"/><Relationship Id="rId9" Type="http://schemas.openxmlformats.org/officeDocument/2006/relationships/hyperlink" Target="https://itprice.com/fr/cisco/fl-ucse-vs7-fn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5"/>
  <sheetViews>
    <sheetView tabSelected="1" workbookViewId="0">
      <selection activeCell="H41" sqref="H41"/>
    </sheetView>
  </sheetViews>
  <sheetFormatPr defaultRowHeight="15"/>
  <cols>
    <col min="2" max="2" width="18" bestFit="1" customWidth="1"/>
    <col min="3" max="3" width="58.28515625" bestFit="1" customWidth="1"/>
    <col min="4" max="4" width="58.28515625" customWidth="1"/>
    <col min="5" max="5" width="15.7109375" bestFit="1" customWidth="1"/>
    <col min="6" max="6" width="22.28515625" bestFit="1" customWidth="1"/>
    <col min="7" max="7" width="24.5703125" bestFit="1" customWidth="1"/>
    <col min="8" max="8" width="76.140625" customWidth="1"/>
  </cols>
  <sheetData>
    <row r="2" spans="2: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>
      <c r="B3" s="13" t="s">
        <v>7</v>
      </c>
      <c r="C3" s="13"/>
      <c r="D3" s="13"/>
      <c r="E3" s="13"/>
      <c r="F3" s="13"/>
      <c r="G3" s="13"/>
      <c r="H3" s="13"/>
    </row>
    <row r="4" spans="2:8">
      <c r="B4" s="1" t="s">
        <v>8</v>
      </c>
      <c r="C4" s="2" t="s">
        <v>9</v>
      </c>
      <c r="D4" s="2" t="s">
        <v>10</v>
      </c>
      <c r="E4" s="2">
        <v>1</v>
      </c>
      <c r="F4" s="3">
        <v>1319</v>
      </c>
      <c r="G4" s="3">
        <f>E4*F4</f>
        <v>1319</v>
      </c>
      <c r="H4" s="22" t="s">
        <v>11</v>
      </c>
    </row>
    <row r="5" spans="2:8" ht="30.75">
      <c r="B5" s="1" t="s">
        <v>8</v>
      </c>
      <c r="C5" s="2" t="s">
        <v>12</v>
      </c>
      <c r="D5" s="2" t="s">
        <v>13</v>
      </c>
      <c r="E5" s="2">
        <v>4</v>
      </c>
      <c r="F5" s="3">
        <v>469</v>
      </c>
      <c r="G5" s="3">
        <f>E5*F5</f>
        <v>1876</v>
      </c>
      <c r="H5" s="20" t="s">
        <v>14</v>
      </c>
    </row>
    <row r="6" spans="2:8">
      <c r="B6" s="1" t="s">
        <v>8</v>
      </c>
      <c r="C6" s="2" t="s">
        <v>15</v>
      </c>
      <c r="D6" s="2" t="s">
        <v>16</v>
      </c>
      <c r="E6" s="2">
        <v>2</v>
      </c>
      <c r="F6" s="3">
        <v>491</v>
      </c>
      <c r="G6" s="3">
        <f t="shared" ref="G6:G8" si="0">E6*F6</f>
        <v>982</v>
      </c>
      <c r="H6" s="20" t="s">
        <v>17</v>
      </c>
    </row>
    <row r="7" spans="2:8">
      <c r="B7" s="1" t="s">
        <v>8</v>
      </c>
      <c r="C7" s="2" t="s">
        <v>18</v>
      </c>
      <c r="D7" s="2" t="s">
        <v>19</v>
      </c>
      <c r="E7" s="2">
        <v>1</v>
      </c>
      <c r="F7" s="3">
        <v>1449</v>
      </c>
      <c r="G7" s="3">
        <f t="shared" si="0"/>
        <v>1449</v>
      </c>
      <c r="H7" s="21" t="s">
        <v>20</v>
      </c>
    </row>
    <row r="8" spans="2:8">
      <c r="B8" s="1" t="s">
        <v>8</v>
      </c>
      <c r="C8" s="2" t="s">
        <v>21</v>
      </c>
      <c r="D8" s="2" t="s">
        <v>22</v>
      </c>
      <c r="E8" s="2">
        <v>5</v>
      </c>
      <c r="F8" s="3">
        <v>479</v>
      </c>
      <c r="G8" s="3">
        <f t="shared" si="0"/>
        <v>2395</v>
      </c>
      <c r="H8" s="9" t="s">
        <v>23</v>
      </c>
    </row>
    <row r="9" spans="2:8">
      <c r="B9" s="1" t="s">
        <v>8</v>
      </c>
      <c r="C9" s="19" t="s">
        <v>24</v>
      </c>
      <c r="D9" s="2" t="s">
        <v>25</v>
      </c>
      <c r="E9" s="2">
        <v>15</v>
      </c>
      <c r="F9" s="3">
        <v>649.99</v>
      </c>
      <c r="G9" s="3">
        <f t="shared" ref="G9:G22" si="1">E9*F9</f>
        <v>9749.85</v>
      </c>
      <c r="H9" s="21" t="s">
        <v>26</v>
      </c>
    </row>
    <row r="10" spans="2:8">
      <c r="B10" s="1" t="s">
        <v>8</v>
      </c>
      <c r="C10" s="19" t="s">
        <v>27</v>
      </c>
      <c r="D10" s="2" t="s">
        <v>28</v>
      </c>
      <c r="E10" s="2">
        <v>3</v>
      </c>
      <c r="F10" s="3">
        <v>498</v>
      </c>
      <c r="G10" s="3">
        <f t="shared" si="1"/>
        <v>1494</v>
      </c>
      <c r="H10" s="21" t="s">
        <v>29</v>
      </c>
    </row>
    <row r="11" spans="2:8">
      <c r="B11" s="1" t="s">
        <v>8</v>
      </c>
      <c r="C11" s="19" t="s">
        <v>30</v>
      </c>
      <c r="D11" s="2" t="s">
        <v>31</v>
      </c>
      <c r="E11" s="2">
        <v>2</v>
      </c>
      <c r="F11" s="3">
        <v>499</v>
      </c>
      <c r="G11" s="3">
        <f t="shared" si="1"/>
        <v>998</v>
      </c>
      <c r="H11" s="9" t="s">
        <v>32</v>
      </c>
    </row>
    <row r="12" spans="2:8">
      <c r="B12" s="1" t="s">
        <v>8</v>
      </c>
      <c r="C12" s="2" t="s">
        <v>33</v>
      </c>
      <c r="D12" s="2" t="s">
        <v>34</v>
      </c>
      <c r="E12" s="2">
        <v>1</v>
      </c>
      <c r="F12" s="3">
        <v>1099</v>
      </c>
      <c r="G12" s="3">
        <f t="shared" si="1"/>
        <v>1099</v>
      </c>
      <c r="H12" s="9" t="s">
        <v>35</v>
      </c>
    </row>
    <row r="13" spans="2:8">
      <c r="B13" s="1" t="s">
        <v>8</v>
      </c>
      <c r="C13" s="2" t="s">
        <v>36</v>
      </c>
      <c r="D13" s="2" t="s">
        <v>37</v>
      </c>
      <c r="E13" s="2">
        <v>1</v>
      </c>
      <c r="F13" s="3">
        <v>799.95</v>
      </c>
      <c r="G13" s="3">
        <f t="shared" si="1"/>
        <v>799.95</v>
      </c>
      <c r="H13" s="9" t="s">
        <v>38</v>
      </c>
    </row>
    <row r="14" spans="2:8">
      <c r="B14" s="1" t="s">
        <v>39</v>
      </c>
      <c r="C14" s="2" t="s">
        <v>40</v>
      </c>
      <c r="D14" s="2" t="s">
        <v>41</v>
      </c>
      <c r="E14" s="2">
        <v>1</v>
      </c>
      <c r="F14" s="3">
        <v>852</v>
      </c>
      <c r="G14" s="3">
        <f t="shared" si="1"/>
        <v>852</v>
      </c>
      <c r="H14" s="9" t="s">
        <v>42</v>
      </c>
    </row>
    <row r="15" spans="2:8">
      <c r="B15" s="1" t="s">
        <v>39</v>
      </c>
      <c r="C15" s="19" t="s">
        <v>43</v>
      </c>
      <c r="D15" s="2" t="s">
        <v>44</v>
      </c>
      <c r="E15" s="2">
        <v>15</v>
      </c>
      <c r="F15" s="12">
        <v>259</v>
      </c>
      <c r="G15" s="3">
        <f t="shared" si="1"/>
        <v>3885</v>
      </c>
      <c r="H15" s="21"/>
    </row>
    <row r="16" spans="2:8" ht="33.75">
      <c r="B16" s="1" t="s">
        <v>39</v>
      </c>
      <c r="C16" s="2" t="s">
        <v>45</v>
      </c>
      <c r="D16" s="10" t="s">
        <v>46</v>
      </c>
      <c r="E16" s="2">
        <v>1</v>
      </c>
      <c r="F16" s="3">
        <v>1978</v>
      </c>
      <c r="G16" s="3">
        <f t="shared" si="1"/>
        <v>1978</v>
      </c>
      <c r="H16" s="21" t="s">
        <v>47</v>
      </c>
    </row>
    <row r="17" spans="2:8">
      <c r="B17" s="1" t="s">
        <v>39</v>
      </c>
      <c r="C17" s="2" t="s">
        <v>48</v>
      </c>
      <c r="D17" s="2" t="s">
        <v>48</v>
      </c>
      <c r="E17" s="2">
        <v>1</v>
      </c>
      <c r="F17" s="12">
        <v>3.59</v>
      </c>
      <c r="G17" s="3">
        <f t="shared" si="1"/>
        <v>3.59</v>
      </c>
      <c r="H17" s="21" t="s">
        <v>49</v>
      </c>
    </row>
    <row r="18" spans="2:8">
      <c r="B18" s="1" t="s">
        <v>50</v>
      </c>
      <c r="C18" s="2" t="s">
        <v>51</v>
      </c>
      <c r="D18" s="2" t="s">
        <v>52</v>
      </c>
      <c r="E18" s="2">
        <v>5</v>
      </c>
      <c r="F18" s="3">
        <v>650</v>
      </c>
      <c r="G18" s="3">
        <f t="shared" si="1"/>
        <v>3250</v>
      </c>
      <c r="H18" s="21"/>
    </row>
    <row r="19" spans="2:8">
      <c r="B19" s="1" t="s">
        <v>50</v>
      </c>
      <c r="C19" s="2" t="s">
        <v>51</v>
      </c>
      <c r="D19" s="2" t="s">
        <v>53</v>
      </c>
      <c r="E19" s="2">
        <v>25</v>
      </c>
      <c r="F19" s="3">
        <v>650</v>
      </c>
      <c r="G19" s="3">
        <f>E19*F19</f>
        <v>16250</v>
      </c>
      <c r="H19" s="21"/>
    </row>
    <row r="20" spans="2:8">
      <c r="B20" s="1" t="s">
        <v>50</v>
      </c>
      <c r="C20" s="2" t="s">
        <v>51</v>
      </c>
      <c r="D20" s="2" t="s">
        <v>54</v>
      </c>
      <c r="E20" s="2">
        <v>5</v>
      </c>
      <c r="F20" s="3">
        <v>650</v>
      </c>
      <c r="G20" s="3">
        <f t="shared" si="1"/>
        <v>3250</v>
      </c>
      <c r="H20" s="21"/>
    </row>
    <row r="21" spans="2:8">
      <c r="B21" s="1" t="s">
        <v>50</v>
      </c>
      <c r="C21" s="2" t="s">
        <v>51</v>
      </c>
      <c r="D21" s="2" t="s">
        <v>55</v>
      </c>
      <c r="E21" s="2">
        <v>5</v>
      </c>
      <c r="F21" s="3">
        <v>650</v>
      </c>
      <c r="G21" s="3">
        <f t="shared" si="1"/>
        <v>3250</v>
      </c>
      <c r="H21" s="21"/>
    </row>
    <row r="22" spans="2:8">
      <c r="B22" s="1" t="s">
        <v>50</v>
      </c>
      <c r="C22" s="2" t="s">
        <v>56</v>
      </c>
      <c r="D22" s="2" t="s">
        <v>57</v>
      </c>
      <c r="E22" s="2">
        <v>5</v>
      </c>
      <c r="F22" s="3">
        <v>800</v>
      </c>
      <c r="G22" s="3">
        <f t="shared" si="1"/>
        <v>4000</v>
      </c>
      <c r="H22" s="21"/>
    </row>
    <row r="23" spans="2:8">
      <c r="B23" s="1" t="s">
        <v>58</v>
      </c>
      <c r="C23" s="2" t="s">
        <v>59</v>
      </c>
      <c r="D23" s="2"/>
      <c r="E23" s="14">
        <f>SUM(G4:G22)</f>
        <v>58880.39</v>
      </c>
      <c r="F23" s="15"/>
      <c r="G23" s="16"/>
      <c r="H23" s="21"/>
    </row>
    <row r="24" spans="2:8">
      <c r="B24" s="13" t="s">
        <v>60</v>
      </c>
      <c r="C24" s="13"/>
      <c r="D24" s="13"/>
      <c r="E24" s="13"/>
      <c r="F24" s="13"/>
      <c r="G24" s="13"/>
      <c r="H24" s="13"/>
    </row>
    <row r="25" spans="2:8">
      <c r="B25" s="1" t="s">
        <v>8</v>
      </c>
      <c r="C25" s="2" t="s">
        <v>61</v>
      </c>
      <c r="D25" s="2" t="s">
        <v>62</v>
      </c>
      <c r="E25" s="5">
        <v>0.35</v>
      </c>
      <c r="F25" s="3">
        <v>2277.6</v>
      </c>
      <c r="G25" s="3">
        <f t="shared" ref="G25:G26" si="2">E25*F25</f>
        <v>797.16</v>
      </c>
      <c r="H25" s="9" t="s">
        <v>63</v>
      </c>
    </row>
    <row r="26" spans="2:8">
      <c r="B26" s="1" t="s">
        <v>8</v>
      </c>
      <c r="C26" s="2" t="s">
        <v>64</v>
      </c>
      <c r="D26" s="2" t="s">
        <v>65</v>
      </c>
      <c r="E26" s="5">
        <v>0.5</v>
      </c>
      <c r="F26" s="3">
        <f>G25</f>
        <v>797.16</v>
      </c>
      <c r="G26" s="3">
        <f t="shared" si="2"/>
        <v>398.58</v>
      </c>
      <c r="H26" s="9" t="s">
        <v>66</v>
      </c>
    </row>
    <row r="27" spans="2:8">
      <c r="B27" s="1" t="s">
        <v>39</v>
      </c>
      <c r="C27" s="2" t="s">
        <v>67</v>
      </c>
      <c r="D27" s="2"/>
      <c r="E27" s="5">
        <v>1</v>
      </c>
      <c r="F27" s="3">
        <v>780</v>
      </c>
      <c r="G27" s="3">
        <f>E27*F27</f>
        <v>780</v>
      </c>
      <c r="H27" s="9" t="s">
        <v>68</v>
      </c>
    </row>
    <row r="28" spans="2:8">
      <c r="B28" s="1" t="s">
        <v>39</v>
      </c>
      <c r="C28" s="2" t="s">
        <v>69</v>
      </c>
      <c r="D28" s="2" t="s">
        <v>70</v>
      </c>
      <c r="E28" s="5">
        <v>1</v>
      </c>
      <c r="F28" s="3">
        <v>1348.5</v>
      </c>
      <c r="G28" s="3">
        <f t="shared" ref="G28:G31" si="3">E28*F28</f>
        <v>1348.5</v>
      </c>
      <c r="H28" s="9" t="s">
        <v>71</v>
      </c>
    </row>
    <row r="29" spans="2:8">
      <c r="B29" s="1" t="s">
        <v>39</v>
      </c>
      <c r="C29" s="2" t="s">
        <v>48</v>
      </c>
      <c r="D29" s="2" t="s">
        <v>48</v>
      </c>
      <c r="E29" s="5">
        <v>1</v>
      </c>
      <c r="F29" s="3">
        <v>37.78</v>
      </c>
      <c r="G29" s="3">
        <f t="shared" si="3"/>
        <v>37.78</v>
      </c>
      <c r="H29" s="21" t="s">
        <v>49</v>
      </c>
    </row>
    <row r="30" spans="2:8">
      <c r="B30" s="1" t="s">
        <v>39</v>
      </c>
      <c r="C30" s="2" t="s">
        <v>72</v>
      </c>
      <c r="D30" s="2"/>
      <c r="E30" s="5">
        <v>1</v>
      </c>
      <c r="F30" s="3">
        <v>0</v>
      </c>
      <c r="G30" s="3">
        <f t="shared" si="3"/>
        <v>0</v>
      </c>
      <c r="H30" s="9" t="s">
        <v>73</v>
      </c>
    </row>
    <row r="31" spans="2:8" ht="30.75">
      <c r="B31" s="6" t="s">
        <v>50</v>
      </c>
      <c r="C31" s="7" t="s">
        <v>74</v>
      </c>
      <c r="D31" s="11" t="s">
        <v>75</v>
      </c>
      <c r="E31" s="7">
        <v>50</v>
      </c>
      <c r="F31" s="7">
        <v>650</v>
      </c>
      <c r="G31" s="8">
        <f t="shared" si="3"/>
        <v>32500</v>
      </c>
      <c r="H31" s="23" t="s">
        <v>76</v>
      </c>
    </row>
    <row r="32" spans="2:8">
      <c r="B32" s="1" t="s">
        <v>77</v>
      </c>
      <c r="C32" s="4" t="s">
        <v>78</v>
      </c>
      <c r="D32" s="4"/>
      <c r="E32" s="17">
        <f>SUM(G27:G31)</f>
        <v>34666.28</v>
      </c>
      <c r="F32" s="18"/>
      <c r="G32" s="18"/>
      <c r="H32" s="21" t="s">
        <v>79</v>
      </c>
    </row>
    <row r="34" spans="2:8">
      <c r="B34" s="1" t="s">
        <v>77</v>
      </c>
      <c r="C34" s="2" t="s">
        <v>80</v>
      </c>
      <c r="D34" s="2"/>
      <c r="E34" s="24">
        <f>E23+(E32*5)</f>
        <v>232211.78999999998</v>
      </c>
      <c r="F34" s="25"/>
      <c r="G34" s="25"/>
      <c r="H34" s="2"/>
    </row>
    <row r="35" spans="2:8">
      <c r="B35" s="4"/>
      <c r="C35" s="4" t="s">
        <v>81</v>
      </c>
      <c r="D35" s="4" t="s">
        <v>82</v>
      </c>
      <c r="E35" s="24">
        <f>SUM(G4:G17)/5</f>
        <v>5776.0779999999995</v>
      </c>
      <c r="F35" s="25"/>
      <c r="G35" s="25"/>
      <c r="H35" s="4" t="s">
        <v>83</v>
      </c>
    </row>
  </sheetData>
  <mergeCells count="6">
    <mergeCell ref="E35:G35"/>
    <mergeCell ref="B3:H3"/>
    <mergeCell ref="B24:H24"/>
    <mergeCell ref="E23:G23"/>
    <mergeCell ref="E32:G32"/>
    <mergeCell ref="E34:G34"/>
  </mergeCells>
  <hyperlinks>
    <hyperlink ref="H11" r:id="rId1" xr:uid="{1CB7DF1E-277A-43EA-BB2A-570537166917}"/>
    <hyperlink ref="H8" r:id="rId2" xr:uid="{B603DC8E-DDDB-4C6D-A273-87E636105FF8}"/>
    <hyperlink ref="H12" r:id="rId3" xr:uid="{E00EA5A6-A0AD-4F23-9B98-B06CBDEB9FEE}"/>
    <hyperlink ref="H27" r:id="rId4" xr:uid="{EF11E3B4-3E41-4E5D-8548-06AF5E7D07B5}"/>
    <hyperlink ref="H28" r:id="rId5" xr:uid="{208616E8-B117-4C41-8A4C-B06C339C7F84}"/>
    <hyperlink ref="H30" r:id="rId6" xr:uid="{D2D641BD-CE60-497A-A017-0BCF62D0FE5B}"/>
    <hyperlink ref="H13" r:id="rId7" xr:uid="{FDE03F65-8DA4-45BA-A35C-E6162E34C69C}"/>
    <hyperlink ref="H4" r:id="rId8" xr:uid="{1B15C3ED-5E7E-431B-BB78-E8D56B75570D}"/>
    <hyperlink ref="H14" r:id="rId9" xr:uid="{0417FD69-4CE0-4C43-819D-5B39809520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2026-06-19T15:46:26Z</dcterms:created>
  <dcterms:modified xsi:type="dcterms:W3CDTF">2026-06-24T21:44:36Z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2026-06-21T10:03:42Z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27808c4c-532b-46c0-86ef-b218de5a5a59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10, 3, 0, 2</vt:lpwstr>
  </property>
</Properties>
</file>